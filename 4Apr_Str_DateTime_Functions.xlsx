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Imarticus_Work\PGA40_Online\Excel\"/>
    </mc:Choice>
  </mc:AlternateContent>
  <xr:revisionPtr revIDLastSave="0" documentId="13_ncr:1_{339B0683-8AA9-4B8F-8C08-2A117E3926B7}" xr6:coauthVersionLast="47" xr6:coauthVersionMax="47" xr10:uidLastSave="{00000000-0000-0000-0000-000000000000}"/>
  <bookViews>
    <workbookView xWindow="-110" yWindow="-110" windowWidth="19420" windowHeight="10420" activeTab="1" xr2:uid="{95C1813E-2588-4633-9932-A7B2F26D720D}"/>
  </bookViews>
  <sheets>
    <sheet name="String_Functions" sheetId="1" r:id="rId1"/>
    <sheet name="DateTime Fun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0" i="2" l="1"/>
  <c r="Z9" i="2"/>
  <c r="Z8" i="2"/>
  <c r="Z7" i="2"/>
  <c r="Z6" i="2"/>
  <c r="S9" i="2"/>
  <c r="S8" i="2"/>
  <c r="S6" i="2"/>
  <c r="L9" i="2"/>
  <c r="L8" i="2"/>
  <c r="L7" i="2"/>
  <c r="L6" i="2"/>
  <c r="L5" i="2"/>
  <c r="D12" i="2"/>
  <c r="D11" i="2"/>
  <c r="D10" i="2"/>
  <c r="D9" i="2"/>
  <c r="D8" i="2"/>
  <c r="D7" i="2"/>
  <c r="D6" i="2"/>
  <c r="D5" i="2"/>
  <c r="D4" i="2"/>
  <c r="D3" i="2"/>
  <c r="D39" i="1"/>
  <c r="D38" i="1"/>
  <c r="D37" i="1"/>
  <c r="D36" i="1"/>
  <c r="D35" i="1"/>
  <c r="D34" i="1"/>
  <c r="D33" i="1"/>
  <c r="D29" i="1"/>
  <c r="D28" i="1"/>
  <c r="D26" i="1"/>
  <c r="D25" i="1"/>
  <c r="D23" i="1"/>
  <c r="D22" i="1"/>
  <c r="D21" i="1"/>
  <c r="D20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AA10" i="2"/>
  <c r="AA9" i="2"/>
  <c r="AA8" i="2"/>
  <c r="AA7" i="2"/>
  <c r="AA6" i="2"/>
  <c r="T8" i="2"/>
  <c r="T9" i="2"/>
  <c r="T6" i="2"/>
  <c r="M9" i="2"/>
  <c r="M7" i="2"/>
  <c r="M8" i="2"/>
  <c r="M6" i="2"/>
  <c r="M5" i="2"/>
  <c r="E12" i="2"/>
  <c r="E11" i="2"/>
  <c r="E5" i="2"/>
  <c r="E9" i="2"/>
  <c r="E6" i="2"/>
  <c r="E10" i="2"/>
  <c r="E7" i="2"/>
  <c r="E4" i="2"/>
  <c r="E8" i="2"/>
  <c r="E3" i="2"/>
  <c r="E39" i="1"/>
  <c r="E38" i="1"/>
  <c r="E37" i="1"/>
  <c r="E36" i="1"/>
  <c r="E35" i="1"/>
  <c r="E34" i="1"/>
  <c r="E33" i="1"/>
  <c r="E29" i="1"/>
  <c r="E28" i="1"/>
  <c r="E25" i="1"/>
  <c r="E26" i="1"/>
  <c r="E23" i="1"/>
  <c r="E22" i="1"/>
  <c r="E21" i="1"/>
  <c r="E20" i="1"/>
  <c r="E18" i="1"/>
  <c r="E17" i="1"/>
  <c r="E11" i="1"/>
  <c r="E13" i="1"/>
  <c r="E16" i="1"/>
  <c r="E14" i="1"/>
  <c r="E15" i="1"/>
  <c r="E12" i="1"/>
  <c r="E9" i="1"/>
  <c r="E10" i="1"/>
  <c r="E8" i="1"/>
  <c r="E4" i="1"/>
  <c r="E6" i="1"/>
  <c r="E7" i="1"/>
  <c r="E5" i="1"/>
</calcChain>
</file>

<file path=xl/sharedStrings.xml><?xml version="1.0" encoding="utf-8"?>
<sst xmlns="http://schemas.openxmlformats.org/spreadsheetml/2006/main" count="92" uniqueCount="76">
  <si>
    <t>Upper</t>
  </si>
  <si>
    <t>Lower</t>
  </si>
  <si>
    <t>Len</t>
  </si>
  <si>
    <t>Proper</t>
  </si>
  <si>
    <t>Trim</t>
  </si>
  <si>
    <t>Search</t>
  </si>
  <si>
    <t>Find</t>
  </si>
  <si>
    <t>Left</t>
  </si>
  <si>
    <t>Right</t>
  </si>
  <si>
    <t>Mid</t>
  </si>
  <si>
    <t>Replace</t>
  </si>
  <si>
    <t>Concatenation</t>
  </si>
  <si>
    <t>Substitute</t>
  </si>
  <si>
    <t>Value</t>
  </si>
  <si>
    <t>Function</t>
  </si>
  <si>
    <t>Formula used</t>
  </si>
  <si>
    <t>Capitalizes first alphabet for each word</t>
  </si>
  <si>
    <t>Removes extra space from both ends</t>
  </si>
  <si>
    <t>Find Index for a substring in the string</t>
  </si>
  <si>
    <t>Case Insensitive</t>
  </si>
  <si>
    <t>Case Sensitive</t>
  </si>
  <si>
    <t>Find First name</t>
  </si>
  <si>
    <t>Find Last Name</t>
  </si>
  <si>
    <t>Replace SQL with ML</t>
  </si>
  <si>
    <t>Substitute Excel with ML</t>
  </si>
  <si>
    <t>Formula Used</t>
  </si>
  <si>
    <t>virat</t>
  </si>
  <si>
    <t>Virat kolhi</t>
  </si>
  <si>
    <t>GOOGLE</t>
  </si>
  <si>
    <t>Indian Cricket</t>
  </si>
  <si>
    <t>virat kolhi</t>
  </si>
  <si>
    <t xml:space="preserve">      Australia      </t>
  </si>
  <si>
    <t>Australia</t>
  </si>
  <si>
    <t>Generative AI</t>
  </si>
  <si>
    <t>Excel-SQL-Python</t>
  </si>
  <si>
    <t>Cricket</t>
  </si>
  <si>
    <t>Chess</t>
  </si>
  <si>
    <t>Hockey</t>
  </si>
  <si>
    <t>Excel-SQL-Python-Excel</t>
  </si>
  <si>
    <t>Addition/Subtraction</t>
  </si>
  <si>
    <t>Date</t>
  </si>
  <si>
    <t>Add Days</t>
  </si>
  <si>
    <t>Subtract Days</t>
  </si>
  <si>
    <t>Add Month</t>
  </si>
  <si>
    <t>Subtract Month</t>
  </si>
  <si>
    <t>DateDiff</t>
  </si>
  <si>
    <t>Date1</t>
  </si>
  <si>
    <t>Date2</t>
  </si>
  <si>
    <t>Time1</t>
  </si>
  <si>
    <t>Time2</t>
  </si>
  <si>
    <t>Formula</t>
  </si>
  <si>
    <t>Diff in Hrs</t>
  </si>
  <si>
    <t>Diff in Min</t>
  </si>
  <si>
    <t>Diff in Sec</t>
  </si>
  <si>
    <t>Total Diff in Min</t>
  </si>
  <si>
    <t>Diff in Hrs and Mins</t>
  </si>
  <si>
    <t>TimeDiff</t>
  </si>
  <si>
    <t>DateDiff in Days</t>
  </si>
  <si>
    <t>DateDiff in Mon</t>
  </si>
  <si>
    <t>DateDiff in Yrs</t>
  </si>
  <si>
    <t>Hardik Pandya</t>
  </si>
  <si>
    <t>Abhishek Vats</t>
  </si>
  <si>
    <t>Aman Agarwal</t>
  </si>
  <si>
    <t>Date Calculation</t>
  </si>
  <si>
    <t>Add yrs</t>
  </si>
  <si>
    <t>MonthName</t>
  </si>
  <si>
    <t>DayName</t>
  </si>
  <si>
    <t>Static Approach</t>
  </si>
  <si>
    <t>Dynamic Approach</t>
  </si>
  <si>
    <t>Raghvendra Singh</t>
  </si>
  <si>
    <t>total=13, space=9</t>
  </si>
  <si>
    <t>total=13, space=5</t>
  </si>
  <si>
    <t>Substitute first occurrence of Excel with ML</t>
  </si>
  <si>
    <t>Substitute second occurrence of Excel with ML</t>
  </si>
  <si>
    <t>Substitute all occurrence of Excel with ML</t>
  </si>
  <si>
    <t>5:46 - 10:34 - 4hrs - 48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</si>
</sst>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  <xf numFmtId="0" fontId="1" fillId="3" borderId="0" xfId="0" applyFont="1" applyFill="1"/>
    <xf numFmtId="164" fontId="0" fillId="0" borderId="0" xfId="0" applyNumberFormat="1"/>
    <xf numFmtId="0" fontId="1" fillId="5" borderId="0" xfId="0" applyFont="1" applyFill="1"/>
    <xf numFmtId="21" fontId="0" fillId="0" borderId="0" xfId="0" applyNumberFormat="1"/>
    <xf numFmtId="2" fontId="0" fillId="0" borderId="0" xfId="0" applyNumberFormat="1"/>
    <xf numFmtId="0" fontId="1" fillId="6" borderId="0" xfId="0" applyFont="1" applyFill="1"/>
    <xf numFmtId="22" fontId="0" fillId="0" borderId="0" xfId="0" applyNumberFormat="1"/>
    <xf numFmtId="0" fontId="0" fillId="0" borderId="0" xfId="0" applyNumberFormat="1"/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EC1D-2A09-4217-88F5-674A3229783D}">
  <dimension ref="B3:J39"/>
  <sheetViews>
    <sheetView topLeftCell="A27" zoomScale="140" zoomScaleNormal="140" workbookViewId="0">
      <selection activeCell="E31" sqref="E31"/>
    </sheetView>
  </sheetViews>
  <sheetFormatPr defaultRowHeight="14.5" x14ac:dyDescent="0.35"/>
  <cols>
    <col min="1" max="1" width="5.08984375" customWidth="1"/>
    <col min="2" max="2" width="13.6328125" customWidth="1"/>
    <col min="3" max="3" width="19.1796875" customWidth="1"/>
    <col min="4" max="4" width="18.26953125" customWidth="1"/>
    <col min="5" max="5" width="54.36328125" customWidth="1"/>
  </cols>
  <sheetData>
    <row r="3" spans="2:10" x14ac:dyDescent="0.35">
      <c r="C3" s="1" t="s">
        <v>13</v>
      </c>
      <c r="D3" s="1" t="s">
        <v>14</v>
      </c>
      <c r="E3" s="1" t="s">
        <v>15</v>
      </c>
    </row>
    <row r="4" spans="2:10" x14ac:dyDescent="0.35">
      <c r="B4" t="s">
        <v>0</v>
      </c>
      <c r="C4" t="s">
        <v>26</v>
      </c>
      <c r="D4" t="str">
        <f>UPPER(C4)</f>
        <v>VIRAT</v>
      </c>
      <c r="E4" t="str">
        <f ca="1">_xlfn.FORMULATEXT(D4)</f>
        <v>=UPPER(C4)</v>
      </c>
    </row>
    <row r="5" spans="2:10" x14ac:dyDescent="0.35">
      <c r="C5" t="s">
        <v>27</v>
      </c>
      <c r="D5" t="str">
        <f>UPPER(C5)</f>
        <v>VIRAT KOLHI</v>
      </c>
      <c r="E5" t="str">
        <f t="shared" ref="E5:E18" ca="1" si="0">_xlfn.FORMULATEXT(D5)</f>
        <v>=UPPER(C5)</v>
      </c>
    </row>
    <row r="6" spans="2:10" x14ac:dyDescent="0.35">
      <c r="B6" t="s">
        <v>1</v>
      </c>
      <c r="C6" t="s">
        <v>28</v>
      </c>
      <c r="D6" t="str">
        <f>LOWER(C6)</f>
        <v>google</v>
      </c>
      <c r="E6" t="str">
        <f t="shared" ca="1" si="0"/>
        <v>=LOWER(C6)</v>
      </c>
    </row>
    <row r="7" spans="2:10" x14ac:dyDescent="0.35">
      <c r="B7" s="1" t="s">
        <v>2</v>
      </c>
      <c r="C7" t="s">
        <v>29</v>
      </c>
      <c r="D7">
        <f>LEN(C7)</f>
        <v>14</v>
      </c>
      <c r="E7" t="str">
        <f t="shared" ca="1" si="0"/>
        <v>=LEN(C7)</v>
      </c>
    </row>
    <row r="8" spans="2:10" x14ac:dyDescent="0.35">
      <c r="B8" t="s">
        <v>3</v>
      </c>
      <c r="C8" t="s">
        <v>30</v>
      </c>
      <c r="D8" t="str">
        <f>PROPER(C8)</f>
        <v>Virat Kolhi</v>
      </c>
      <c r="E8" t="str">
        <f t="shared" ca="1" si="0"/>
        <v>=PROPER(C8)</v>
      </c>
      <c r="F8" t="s">
        <v>16</v>
      </c>
    </row>
    <row r="9" spans="2:10" x14ac:dyDescent="0.35">
      <c r="B9" t="s">
        <v>4</v>
      </c>
      <c r="C9" t="s">
        <v>31</v>
      </c>
      <c r="D9" t="str">
        <f>TRIM(C9)</f>
        <v>Australia</v>
      </c>
      <c r="E9" t="str">
        <f t="shared" ca="1" si="0"/>
        <v>=TRIM(C9)</v>
      </c>
      <c r="F9" t="s">
        <v>17</v>
      </c>
    </row>
    <row r="10" spans="2:10" x14ac:dyDescent="0.35">
      <c r="D10">
        <f>LEN(C9)</f>
        <v>21</v>
      </c>
      <c r="E10" t="str">
        <f t="shared" ca="1" si="0"/>
        <v>=LEN(C9)</v>
      </c>
    </row>
    <row r="11" spans="2:10" x14ac:dyDescent="0.35">
      <c r="D11">
        <f>LEN(TRIM(C9))</f>
        <v>9</v>
      </c>
      <c r="E11" t="str">
        <f ca="1">_xlfn.FORMULATEXT(D11)</f>
        <v>=LEN(TRIM(C9))</v>
      </c>
    </row>
    <row r="12" spans="2:10" x14ac:dyDescent="0.35">
      <c r="B12" s="1" t="s">
        <v>5</v>
      </c>
      <c r="C12" t="s">
        <v>32</v>
      </c>
      <c r="D12">
        <f>SEARCH("t",C12,1)</f>
        <v>4</v>
      </c>
      <c r="E12" t="str">
        <f t="shared" ca="1" si="0"/>
        <v>=SEARCH("t",C12,1)</v>
      </c>
      <c r="F12" t="s">
        <v>18</v>
      </c>
      <c r="J12" t="s">
        <v>19</v>
      </c>
    </row>
    <row r="13" spans="2:10" x14ac:dyDescent="0.35">
      <c r="D13">
        <f>SEARCH("a",C12,1)</f>
        <v>1</v>
      </c>
      <c r="E13" t="str">
        <f t="shared" ca="1" si="0"/>
        <v>=SEARCH("a",C12,1)</v>
      </c>
    </row>
    <row r="14" spans="2:10" x14ac:dyDescent="0.35">
      <c r="D14">
        <f>SEARCH("A",C12,1)</f>
        <v>1</v>
      </c>
      <c r="E14" t="str">
        <f t="shared" ca="1" si="0"/>
        <v>=SEARCH("A",C12,1)</v>
      </c>
    </row>
    <row r="15" spans="2:10" x14ac:dyDescent="0.35">
      <c r="D15">
        <f>SEARCH("a",C12,2)</f>
        <v>6</v>
      </c>
      <c r="E15" t="str">
        <f t="shared" ca="1" si="0"/>
        <v>=SEARCH("a",C12,2)</v>
      </c>
      <c r="F15" t="s">
        <v>67</v>
      </c>
    </row>
    <row r="16" spans="2:10" x14ac:dyDescent="0.35">
      <c r="D16">
        <f>SEARCH("a",C12,SEARCH("a",C12,1)+1)</f>
        <v>6</v>
      </c>
      <c r="E16" t="str">
        <f t="shared" ca="1" si="0"/>
        <v>=SEARCH("a",C12,SEARCH("a",C12,1)+1)</v>
      </c>
      <c r="F16" t="s">
        <v>68</v>
      </c>
    </row>
    <row r="17" spans="2:10" x14ac:dyDescent="0.35">
      <c r="B17" t="s">
        <v>6</v>
      </c>
      <c r="C17" t="s">
        <v>32</v>
      </c>
      <c r="D17">
        <f>FIND("A",C17,1)</f>
        <v>1</v>
      </c>
      <c r="E17" t="str">
        <f t="shared" ca="1" si="0"/>
        <v>=FIND("A",C17,1)</v>
      </c>
      <c r="F17" t="s">
        <v>18</v>
      </c>
      <c r="J17" t="s">
        <v>20</v>
      </c>
    </row>
    <row r="18" spans="2:10" x14ac:dyDescent="0.35">
      <c r="D18">
        <f>FIND("a",C17,1)</f>
        <v>6</v>
      </c>
      <c r="E18" t="str">
        <f t="shared" ca="1" si="0"/>
        <v>=FIND("a",C17,1)</v>
      </c>
    </row>
    <row r="20" spans="2:10" x14ac:dyDescent="0.35">
      <c r="B20" s="1" t="s">
        <v>7</v>
      </c>
      <c r="C20" t="s">
        <v>60</v>
      </c>
      <c r="D20" t="str">
        <f>LEFT(C20,6)</f>
        <v>Hardik</v>
      </c>
      <c r="E20" t="str">
        <f ca="1">_xlfn.FORMULATEXT(D20)</f>
        <v>=LEFT(C20,6)</v>
      </c>
      <c r="F20" t="s">
        <v>21</v>
      </c>
    </row>
    <row r="21" spans="2:10" x14ac:dyDescent="0.35">
      <c r="B21" s="1"/>
      <c r="C21" t="s">
        <v>69</v>
      </c>
      <c r="D21" t="str">
        <f>LEFT(C21,SEARCH(" ", C21,1)-1)</f>
        <v>Raghvendra</v>
      </c>
      <c r="E21" t="str">
        <f ca="1">_xlfn.FORMULATEXT(D21)</f>
        <v>=LEFT(C21,SEARCH(" ", C21,1)-1)</v>
      </c>
      <c r="F21" s="1" t="s">
        <v>68</v>
      </c>
    </row>
    <row r="22" spans="2:10" x14ac:dyDescent="0.35">
      <c r="B22" s="1" t="s">
        <v>8</v>
      </c>
      <c r="C22" t="s">
        <v>61</v>
      </c>
      <c r="D22" t="str">
        <f>RIGHT(C22, 4)</f>
        <v>Vats</v>
      </c>
      <c r="E22" t="str">
        <f ca="1">_xlfn.FORMULATEXT(D22)</f>
        <v>=RIGHT(C22, 4)</v>
      </c>
      <c r="F22" t="s">
        <v>22</v>
      </c>
    </row>
    <row r="23" spans="2:10" x14ac:dyDescent="0.35">
      <c r="C23" t="s">
        <v>70</v>
      </c>
      <c r="D23" t="str">
        <f>RIGHT(C22, LEN(C22)- FIND(" ",C22,1))</f>
        <v>Vats</v>
      </c>
      <c r="E23" t="str">
        <f ca="1">_xlfn.FORMULATEXT(D23)</f>
        <v>=RIGHT(C22, LEN(C22)- FIND(" ",C22,1))</v>
      </c>
      <c r="F23" s="1" t="s">
        <v>68</v>
      </c>
    </row>
    <row r="25" spans="2:10" x14ac:dyDescent="0.35">
      <c r="B25" s="1" t="s">
        <v>9</v>
      </c>
      <c r="C25" t="s">
        <v>33</v>
      </c>
      <c r="D25" t="str">
        <f>MID(C25,5,3)</f>
        <v>rat</v>
      </c>
      <c r="E25" t="str">
        <f ca="1">_xlfn.FORMULATEXT(D25)</f>
        <v>=MID(C25,5,3)</v>
      </c>
    </row>
    <row r="26" spans="2:10" x14ac:dyDescent="0.35">
      <c r="C26" t="s">
        <v>62</v>
      </c>
      <c r="D26" t="str">
        <f>MID(C26, SEARCH(" ",C26,1)+1, LEN(C26) - SEARCH(" ", C26,1))</f>
        <v>Agarwal</v>
      </c>
      <c r="E26" t="str">
        <f ca="1">_xlfn.FORMULATEXT(D26)</f>
        <v>=MID(C26, SEARCH(" ",C26,1)+1, LEN(C26) - SEARCH(" ", C26,1))</v>
      </c>
      <c r="F26" s="1"/>
    </row>
    <row r="27" spans="2:10" x14ac:dyDescent="0.35">
      <c r="C27" t="s">
        <v>71</v>
      </c>
    </row>
    <row r="28" spans="2:10" x14ac:dyDescent="0.35">
      <c r="B28" s="1" t="s">
        <v>10</v>
      </c>
      <c r="C28" t="s">
        <v>34</v>
      </c>
      <c r="D28" t="str">
        <f>REPLACE(C28, 7,3,"ML")</f>
        <v>Excel-ML-Python</v>
      </c>
      <c r="E28" t="str">
        <f t="shared" ref="E28:E29" ca="1" si="1">_xlfn.FORMULATEXT(D28)</f>
        <v>=REPLACE(C28, 7,3,"ML")</v>
      </c>
      <c r="F28" t="s">
        <v>23</v>
      </c>
    </row>
    <row r="29" spans="2:10" x14ac:dyDescent="0.35">
      <c r="B29" s="1"/>
      <c r="D29" t="str">
        <f>REPLACE(C28,SEARCH("SQL",C28,1),LEN("SQL"), "ML")</f>
        <v>Excel-ML-Python</v>
      </c>
      <c r="E29" t="str">
        <f t="shared" ca="1" si="1"/>
        <v>=REPLACE(C28,SEARCH("SQL",C28,1),LEN("SQL"), "ML")</v>
      </c>
      <c r="F29" t="s">
        <v>68</v>
      </c>
    </row>
    <row r="30" spans="2:10" x14ac:dyDescent="0.35">
      <c r="C30" t="s">
        <v>35</v>
      </c>
    </row>
    <row r="31" spans="2:10" x14ac:dyDescent="0.35">
      <c r="C31" t="s">
        <v>36</v>
      </c>
    </row>
    <row r="32" spans="2:10" x14ac:dyDescent="0.35">
      <c r="C32" t="s">
        <v>37</v>
      </c>
    </row>
    <row r="33" spans="2:9" x14ac:dyDescent="0.35">
      <c r="B33" s="1" t="s">
        <v>11</v>
      </c>
      <c r="D33" t="str">
        <f>_xlfn.CONCAT(C30,C31,C32)</f>
        <v>CricketChessHockey</v>
      </c>
      <c r="E33" t="str">
        <f ca="1">_xlfn.FORMULATEXT(D33)</f>
        <v>=CONCAT(C30,C31,C32)</v>
      </c>
    </row>
    <row r="34" spans="2:9" x14ac:dyDescent="0.35">
      <c r="D34" t="str">
        <f>_xlfn.CONCAT(C30," ", C31, " ",C32)</f>
        <v>Cricket Chess Hockey</v>
      </c>
      <c r="E34" t="str">
        <f ca="1">_xlfn.FORMULATEXT(D34)</f>
        <v>=CONCAT(C30," ", C31, " ",C32)</v>
      </c>
    </row>
    <row r="35" spans="2:9" x14ac:dyDescent="0.35">
      <c r="D35" t="str">
        <f>C30 &amp; " " &amp; C31 &amp; " " &amp; C32</f>
        <v>Cricket Chess Hockey</v>
      </c>
      <c r="E35" t="str">
        <f ca="1">_xlfn.FORMULATEXT(D35)</f>
        <v>=C30 &amp; " " &amp; C31 &amp; " " &amp; C32</v>
      </c>
    </row>
    <row r="36" spans="2:9" x14ac:dyDescent="0.35">
      <c r="B36" s="1" t="s">
        <v>12</v>
      </c>
      <c r="C36" t="s">
        <v>38</v>
      </c>
      <c r="D36" t="str">
        <f>SUBSTITUTE(C36,"Python","ML")</f>
        <v>Excel-SQL-ML-Excel</v>
      </c>
      <c r="E36" t="str">
        <f ca="1">_xlfn.FORMULATEXT(D36)</f>
        <v>=SUBSTITUTE(C36,"Python","ML")</v>
      </c>
      <c r="F36" t="s">
        <v>24</v>
      </c>
      <c r="I36" t="s">
        <v>20</v>
      </c>
    </row>
    <row r="37" spans="2:9" x14ac:dyDescent="0.35">
      <c r="D37" t="str">
        <f>SUBSTITUTE(C36,"Excel","ML",1)</f>
        <v>ML-SQL-Python-Excel</v>
      </c>
      <c r="E37" t="str">
        <f t="shared" ref="E37:E39" ca="1" si="2">_xlfn.FORMULATEXT(D37)</f>
        <v>=SUBSTITUTE(C36,"Excel","ML",1)</v>
      </c>
      <c r="F37" t="s">
        <v>72</v>
      </c>
    </row>
    <row r="38" spans="2:9" x14ac:dyDescent="0.35">
      <c r="D38" t="str">
        <f>SUBSTITUTE(C36,"Excel","ML",2)</f>
        <v>Excel-SQL-Python-ML</v>
      </c>
      <c r="E38" t="str">
        <f t="shared" ca="1" si="2"/>
        <v>=SUBSTITUTE(C36,"Excel","ML",2)</v>
      </c>
      <c r="F38" t="s">
        <v>73</v>
      </c>
    </row>
    <row r="39" spans="2:9" x14ac:dyDescent="0.35">
      <c r="D39" t="str">
        <f>SUBSTITUTE(C36,"Excel","ML")</f>
        <v>ML-SQL-Python-ML</v>
      </c>
      <c r="E39" t="str">
        <f t="shared" ca="1" si="2"/>
        <v>=SUBSTITUTE(C36,"Excel","ML")</v>
      </c>
      <c r="F3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6175-7866-41BE-B3A7-642D0A2EF9A1}">
  <dimension ref="B2:AB13"/>
  <sheetViews>
    <sheetView tabSelected="1" topLeftCell="U1" zoomScale="160" zoomScaleNormal="160" workbookViewId="0">
      <selection activeCell="Z6" sqref="Z6:Z10"/>
    </sheetView>
  </sheetViews>
  <sheetFormatPr defaultRowHeight="14.5" x14ac:dyDescent="0.35"/>
  <cols>
    <col min="2" max="2" width="10.6328125" customWidth="1"/>
    <col min="3" max="3" width="12.54296875" customWidth="1"/>
    <col min="4" max="4" width="16.08984375" customWidth="1"/>
    <col min="5" max="5" width="17.81640625" customWidth="1"/>
    <col min="7" max="7" width="10.1796875" bestFit="1" customWidth="1"/>
    <col min="9" max="9" width="13.26953125" customWidth="1"/>
    <col min="10" max="10" width="16.6328125" customWidth="1"/>
    <col min="12" max="12" width="14.26953125" customWidth="1"/>
    <col min="13" max="13" width="13.08984375" customWidth="1"/>
    <col min="16" max="17" width="14.1796875" customWidth="1"/>
    <col min="18" max="18" width="11.81640625" customWidth="1"/>
    <col min="19" max="19" width="11.54296875" customWidth="1"/>
    <col min="20" max="20" width="19.54296875" customWidth="1"/>
    <col min="23" max="23" width="13.90625" customWidth="1"/>
    <col min="24" max="24" width="11.453125" customWidth="1"/>
    <col min="25" max="25" width="12" customWidth="1"/>
    <col min="26" max="26" width="13.26953125" customWidth="1"/>
    <col min="27" max="27" width="11.08984375" customWidth="1"/>
  </cols>
  <sheetData>
    <row r="2" spans="2:28" x14ac:dyDescent="0.35">
      <c r="C2" s="1" t="s">
        <v>13</v>
      </c>
      <c r="D2" s="1" t="s">
        <v>14</v>
      </c>
      <c r="E2" s="2" t="s">
        <v>25</v>
      </c>
      <c r="I2" s="2" t="s">
        <v>63</v>
      </c>
      <c r="J2" s="2"/>
      <c r="Y2" t="s">
        <v>75</v>
      </c>
    </row>
    <row r="3" spans="2:28" x14ac:dyDescent="0.35">
      <c r="D3" s="10">
        <f ca="1">NOW()</f>
        <v>46116.825715509258</v>
      </c>
      <c r="E3" t="str">
        <f ca="1">_xlfn.FORMULATEXT(D3)</f>
        <v>=NOW()</v>
      </c>
      <c r="G3" s="8">
        <v>46116</v>
      </c>
      <c r="I3" s="4" t="s">
        <v>39</v>
      </c>
      <c r="J3" s="4"/>
      <c r="Q3" s="6" t="s">
        <v>45</v>
      </c>
      <c r="W3" s="6" t="s">
        <v>56</v>
      </c>
    </row>
    <row r="4" spans="2:28" x14ac:dyDescent="0.35">
      <c r="D4" s="3">
        <f ca="1">TODAY()</f>
        <v>46116</v>
      </c>
      <c r="E4" t="str">
        <f t="shared" ref="E4:E12" ca="1" si="0">_xlfn.FORMULATEXT(D4)</f>
        <v>=TODAY()</v>
      </c>
      <c r="J4" s="1" t="s">
        <v>40</v>
      </c>
      <c r="K4" s="1" t="s">
        <v>13</v>
      </c>
      <c r="L4" s="1" t="s">
        <v>14</v>
      </c>
      <c r="M4" s="12" t="s">
        <v>25</v>
      </c>
      <c r="N4" s="12"/>
    </row>
    <row r="5" spans="2:28" x14ac:dyDescent="0.35">
      <c r="C5" s="3">
        <v>45792</v>
      </c>
      <c r="D5">
        <f>YEAR(C5)</f>
        <v>2025</v>
      </c>
      <c r="E5" t="str">
        <f t="shared" ca="1" si="0"/>
        <v>=YEAR(C5)</v>
      </c>
      <c r="G5" s="8"/>
      <c r="I5" t="s">
        <v>41</v>
      </c>
      <c r="J5" s="5">
        <v>45822</v>
      </c>
      <c r="K5">
        <v>8</v>
      </c>
      <c r="L5" s="5">
        <f>J5+K5</f>
        <v>45830</v>
      </c>
      <c r="M5" t="str">
        <f ca="1">_xlfn.FORMULATEXT(L5)</f>
        <v>=J5+K5</v>
      </c>
      <c r="Q5" s="1" t="s">
        <v>46</v>
      </c>
      <c r="R5" s="1" t="s">
        <v>47</v>
      </c>
      <c r="S5" s="1" t="s">
        <v>14</v>
      </c>
      <c r="T5" s="9" t="s">
        <v>25</v>
      </c>
      <c r="X5" s="1" t="s">
        <v>48</v>
      </c>
      <c r="Y5" s="1" t="s">
        <v>49</v>
      </c>
      <c r="Z5" s="1" t="s">
        <v>50</v>
      </c>
      <c r="AA5" s="13" t="s">
        <v>25</v>
      </c>
      <c r="AB5" s="13"/>
    </row>
    <row r="6" spans="2:28" x14ac:dyDescent="0.35">
      <c r="D6">
        <f>MONTH(C5)</f>
        <v>5</v>
      </c>
      <c r="E6" t="str">
        <f t="shared" ca="1" si="0"/>
        <v>=MONTH(C5)</v>
      </c>
      <c r="I6" t="s">
        <v>42</v>
      </c>
      <c r="J6" s="5">
        <v>45893</v>
      </c>
      <c r="K6">
        <v>15</v>
      </c>
      <c r="L6" s="5">
        <f>J6-K6</f>
        <v>45878</v>
      </c>
      <c r="M6" t="str">
        <f ca="1">_xlfn.FORMULATEXT(L6)</f>
        <v>=J6-K6</v>
      </c>
      <c r="P6" t="s">
        <v>57</v>
      </c>
      <c r="Q6" s="3">
        <v>45375</v>
      </c>
      <c r="R6" s="3">
        <v>45886</v>
      </c>
      <c r="S6">
        <f>DATEDIF(Q6,R6,"D")</f>
        <v>511</v>
      </c>
      <c r="T6" t="str">
        <f ca="1">_xlfn.FORMULATEXT(S6)</f>
        <v>=DATEDIF(Q6,R6,"D")</v>
      </c>
      <c r="W6" t="s">
        <v>51</v>
      </c>
      <c r="X6" s="7">
        <v>0.94027777777777777</v>
      </c>
      <c r="Y6" s="7">
        <v>0.74027777777777781</v>
      </c>
      <c r="Z6">
        <f>HOUR(X6-Y6)</f>
        <v>4</v>
      </c>
      <c r="AA6" t="str">
        <f ca="1">_xlfn.FORMULATEXT(Z6)</f>
        <v>=HOUR(X6-Y6)</v>
      </c>
    </row>
    <row r="7" spans="2:28" x14ac:dyDescent="0.35">
      <c r="D7">
        <f>DAY(C5)</f>
        <v>15</v>
      </c>
      <c r="E7" t="str">
        <f t="shared" ca="1" si="0"/>
        <v>=DAY(C5)</v>
      </c>
      <c r="I7" t="s">
        <v>43</v>
      </c>
      <c r="J7" s="5">
        <v>45766</v>
      </c>
      <c r="K7">
        <v>3</v>
      </c>
      <c r="L7" s="5">
        <f>EDATE(J7,K7)</f>
        <v>45857</v>
      </c>
      <c r="M7" t="str">
        <f ca="1">_xlfn.FORMULATEXT(L7)</f>
        <v>=EDATE(J7,K7)</v>
      </c>
      <c r="W7" t="s">
        <v>52</v>
      </c>
      <c r="X7" s="7">
        <v>0.94027777777777777</v>
      </c>
      <c r="Y7" s="7">
        <v>0.74027777777777781</v>
      </c>
      <c r="Z7">
        <f>MINUTE(X7-Y7)</f>
        <v>48</v>
      </c>
      <c r="AA7" t="str">
        <f ca="1">_xlfn.FORMULATEXT(Z7)</f>
        <v>=MINUTE(X7-Y7)</v>
      </c>
    </row>
    <row r="8" spans="2:28" x14ac:dyDescent="0.35">
      <c r="D8" s="3">
        <f>DATE(D5,D6,D7)</f>
        <v>45792</v>
      </c>
      <c r="E8" t="str">
        <f t="shared" ca="1" si="0"/>
        <v>=DATE(D5,D6,D7)</v>
      </c>
      <c r="I8" t="s">
        <v>44</v>
      </c>
      <c r="J8" s="5">
        <v>45958</v>
      </c>
      <c r="K8">
        <v>5</v>
      </c>
      <c r="L8" s="5">
        <f>EDATE(J8,-K8)</f>
        <v>45805</v>
      </c>
      <c r="M8" t="str">
        <f ca="1">_xlfn.FORMULATEXT(L8)</f>
        <v>=EDATE(J8,-K8)</v>
      </c>
      <c r="P8" t="s">
        <v>58</v>
      </c>
      <c r="Q8" s="3">
        <v>45375</v>
      </c>
      <c r="R8" s="3">
        <v>45886</v>
      </c>
      <c r="S8">
        <f>DATEDIF(Q8,R8,"M")</f>
        <v>16</v>
      </c>
      <c r="T8" t="str">
        <f t="shared" ref="T7:T9" ca="1" si="1">_xlfn.FORMULATEXT(S8)</f>
        <v>=DATEDIF(Q8,R8,"M")</v>
      </c>
      <c r="W8" t="s">
        <v>53</v>
      </c>
      <c r="X8" s="7">
        <v>0.94027777777777777</v>
      </c>
      <c r="Y8" s="7">
        <v>0.74027777777777781</v>
      </c>
      <c r="Z8">
        <f>SECOND(X8-Y8)</f>
        <v>0</v>
      </c>
      <c r="AA8" t="str">
        <f ca="1">_xlfn.FORMULATEXT(Z8)</f>
        <v>=SECOND(X8-Y8)</v>
      </c>
    </row>
    <row r="9" spans="2:28" x14ac:dyDescent="0.35">
      <c r="B9" t="s">
        <v>65</v>
      </c>
      <c r="C9" s="3">
        <v>46015</v>
      </c>
      <c r="D9" t="str">
        <f>TEXT(C9,"mmmm")</f>
        <v>December</v>
      </c>
      <c r="E9" t="str">
        <f t="shared" ca="1" si="0"/>
        <v>=TEXT(C9,"mmmm")</v>
      </c>
      <c r="I9" t="s">
        <v>64</v>
      </c>
      <c r="J9" s="3">
        <v>46099</v>
      </c>
      <c r="K9">
        <v>2</v>
      </c>
      <c r="L9" s="3">
        <f>EDATE(J9,12*K9)</f>
        <v>46830</v>
      </c>
      <c r="M9" t="str">
        <f ca="1">_xlfn.FORMULATEXT(L9)</f>
        <v>=EDATE(J9,12*K9)</v>
      </c>
      <c r="P9" t="s">
        <v>59</v>
      </c>
      <c r="Q9" s="3">
        <v>45375</v>
      </c>
      <c r="R9" s="3">
        <v>45886</v>
      </c>
      <c r="S9">
        <f>DATEDIF(Q9,R9,"Y")</f>
        <v>1</v>
      </c>
      <c r="T9" t="str">
        <f t="shared" ca="1" si="1"/>
        <v>=DATEDIF(Q9,R9,"Y")</v>
      </c>
      <c r="W9" t="s">
        <v>54</v>
      </c>
      <c r="X9" s="7">
        <v>0.94027777777777777</v>
      </c>
      <c r="Y9" s="7">
        <v>0.74027777777777781</v>
      </c>
      <c r="Z9" s="8">
        <f>HOUR(X9-Y9)*60 + MINUTE(X9-Y9)</f>
        <v>288</v>
      </c>
      <c r="AA9" t="str">
        <f ca="1">_xlfn.FORMULATEXT(Z9)</f>
        <v>=HOUR(X9-Y9)*60 + MINUTE(X9-Y9)</v>
      </c>
    </row>
    <row r="10" spans="2:28" x14ac:dyDescent="0.35">
      <c r="B10" t="s">
        <v>65</v>
      </c>
      <c r="D10" t="str">
        <f>TEXT(C9,"mmm")</f>
        <v>Dec</v>
      </c>
      <c r="E10" t="str">
        <f t="shared" ca="1" si="0"/>
        <v>=TEXT(C9,"mmm")</v>
      </c>
      <c r="W10" t="s">
        <v>55</v>
      </c>
      <c r="X10" s="7">
        <v>0.94027777777777777</v>
      </c>
      <c r="Y10" s="7">
        <v>0.74027777777777781</v>
      </c>
      <c r="Z10" s="11" t="str">
        <f>HOUR(X10-Y10) &amp; "hrs " &amp; MINUTE(X10-Y10) &amp; "mins"</f>
        <v>4hrs 48mins</v>
      </c>
      <c r="AA10" t="str">
        <f ca="1">_xlfn.FORMULATEXT(Z10)</f>
        <v>=HOUR(X10-Y10) &amp; "hrs " &amp; MINUTE(X10-Y10) &amp; "mins"</v>
      </c>
    </row>
    <row r="11" spans="2:28" x14ac:dyDescent="0.35">
      <c r="B11" t="s">
        <v>66</v>
      </c>
      <c r="C11" s="3">
        <v>45862</v>
      </c>
      <c r="D11" t="str">
        <f>TEXT(C11,"dddd")</f>
        <v>Thursday</v>
      </c>
      <c r="E11" t="str">
        <f t="shared" ca="1" si="0"/>
        <v>=TEXT(C11,"dddd")</v>
      </c>
    </row>
    <row r="12" spans="2:28" x14ac:dyDescent="0.35">
      <c r="B12" t="s">
        <v>66</v>
      </c>
      <c r="D12" t="str">
        <f>TEXT(C11,"ddd")</f>
        <v>Thu</v>
      </c>
      <c r="E12" t="str">
        <f t="shared" ca="1" si="0"/>
        <v>=TEXT(C11,"ddd")</v>
      </c>
    </row>
    <row r="13" spans="2:28" x14ac:dyDescent="0.35">
      <c r="C13" s="3">
        <v>46077</v>
      </c>
    </row>
  </sheetData>
  <mergeCells count="2">
    <mergeCell ref="M4:N4"/>
    <mergeCell ref="AA5:A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String_Functions</vt:lpstr>
      <vt:lpstr>DateTime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Utkarsh Tiwary</cp:lastModifiedBy>
  <dcterms:created xsi:type="dcterms:W3CDTF">2026-03-17T03:15:16Z</dcterms:created>
  <dcterms:modified xsi:type="dcterms:W3CDTF">2026-04-04T14:19:24Z</dcterms:modified>
</cp:coreProperties>
</file>