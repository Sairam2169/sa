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s" sheetId="1" r:id="rId4"/>
    <sheet state="visible" name="Ex1" sheetId="2" r:id="rId5"/>
    <sheet state="visible" name="Ex2" sheetId="3" r:id="rId6"/>
    <sheet state="visible" name="ML_Ex1" sheetId="4" r:id="rId7"/>
    <sheet state="visible" name="HL_Ex1" sheetId="5" r:id="rId8"/>
  </sheets>
  <definedNames/>
  <calcPr/>
  <extLst>
    <ext uri="GoogleSheetsCustomDataVersion2">
      <go:sheetsCustomData xmlns:go="http://customooxmlschemas.google.com/" r:id="rId9" roundtripDataChecksum="CwkPU294psW3UWXm7SLxw15DaL0htlYiDsu/rkc93nM="/>
    </ext>
  </extLst>
</workbook>
</file>

<file path=xl/sharedStrings.xml><?xml version="1.0" encoding="utf-8"?>
<sst xmlns="http://schemas.openxmlformats.org/spreadsheetml/2006/main" count="343" uniqueCount="146">
  <si>
    <t>Vlookup</t>
  </si>
  <si>
    <r>
      <rPr>
        <rFont val="Calibri"/>
        <b/>
        <color theme="1"/>
        <sz val="11.0"/>
      </rPr>
      <t>1) VLOOKUP</t>
    </r>
    <r>
      <rPr>
        <rFont val="Calibri"/>
        <b val="0"/>
        <color theme="1"/>
        <sz val="11.0"/>
      </rPr>
      <t xml:space="preserve"> searches for a value in the </t>
    </r>
    <r>
      <rPr>
        <rFont val="Calibri"/>
        <b/>
        <color theme="1"/>
        <sz val="11.0"/>
      </rPr>
      <t>first column</t>
    </r>
    <r>
      <rPr>
        <rFont val="Calibri"/>
        <b val="0"/>
        <color theme="1"/>
        <sz val="11.0"/>
      </rPr>
      <t xml:space="preserve"> of a table and returns a value from a specified column to the right.</t>
    </r>
  </si>
  <si>
    <t>2) Only searches left → right directly.</t>
  </si>
  <si>
    <t>3) Cant Handle Errors</t>
  </si>
  <si>
    <t>4) The Lookup value must be present in the first column of the data range</t>
  </si>
  <si>
    <t xml:space="preserve">5) The function breaks if new column is inserted/deleted </t>
  </si>
  <si>
    <t>6) Cant Handle Duplicates</t>
  </si>
  <si>
    <r>
      <rPr>
        <rFont val="Calibri"/>
        <color theme="1"/>
      </rPr>
      <t xml:space="preserve">Syntax - </t>
    </r>
    <r>
      <rPr>
        <rFont val="Calibri"/>
        <b/>
        <color theme="1"/>
        <sz val="11.0"/>
      </rPr>
      <t>VLOOKUP(lookup_value, table_array, col_index_num, False/True)</t>
    </r>
  </si>
  <si>
    <t>Index-Match</t>
  </si>
  <si>
    <r>
      <rPr>
        <rFont val="Calibri"/>
        <b/>
        <color theme="1"/>
        <sz val="11.0"/>
      </rPr>
      <t>MATCH</t>
    </r>
    <r>
      <rPr>
        <rFont val="Calibri"/>
        <b val="0"/>
        <color theme="1"/>
        <sz val="11.0"/>
      </rPr>
      <t xml:space="preserve"> → Finds position</t>
    </r>
  </si>
  <si>
    <r>
      <rPr>
        <rFont val="Calibri"/>
        <b/>
        <color theme="1"/>
        <sz val="11.0"/>
      </rPr>
      <t>INDEX</t>
    </r>
    <r>
      <rPr>
        <rFont val="Calibri"/>
        <b val="0"/>
        <color theme="1"/>
        <sz val="11.0"/>
      </rPr>
      <t xml:space="preserve"> → Returns value at that position</t>
    </r>
  </si>
  <si>
    <t>1) Match - MATCH function searches for a lookup value in a range of cells and returns the relative position of that value in the range.</t>
  </si>
  <si>
    <t>2) Index -  INDEX finds the lookup value by column and row numbers</t>
  </si>
  <si>
    <t>3) Index-Match allows you to return a value from any column based on row/column criteria</t>
  </si>
  <si>
    <t>4) Index-Match can search from Left to Right and Right to Left</t>
  </si>
  <si>
    <t>5) Cant Handle Errors</t>
  </si>
  <si>
    <r>
      <rPr>
        <rFont val="Calibri"/>
        <color theme="1"/>
      </rPr>
      <t xml:space="preserve">Syntax - </t>
    </r>
    <r>
      <rPr>
        <rFont val="Calibri"/>
        <b/>
        <color theme="1"/>
        <sz val="11.0"/>
      </rPr>
      <t>Match(Lookup_value,Lookup_Range,Match_Type)</t>
    </r>
  </si>
  <si>
    <r>
      <rPr>
        <rFont val="Calibri"/>
        <color theme="1"/>
      </rPr>
      <t xml:space="preserve">Syntax - </t>
    </r>
    <r>
      <rPr>
        <rFont val="Calibri"/>
        <b/>
        <color theme="1"/>
        <sz val="11.0"/>
      </rPr>
      <t>Index(array, row_num, col_num)</t>
    </r>
  </si>
  <si>
    <t>Xlookup</t>
  </si>
  <si>
    <t>1) Works in any direction</t>
  </si>
  <si>
    <t>2) Can Handle Errors</t>
  </si>
  <si>
    <t>3) Has Built-In Search and Match mode</t>
  </si>
  <si>
    <t>4) Can Handle Duplicates</t>
  </si>
  <si>
    <t>5) Returns multiple (consecutive) columns automatically</t>
  </si>
  <si>
    <r>
      <rPr>
        <rFont val="Calibri"/>
        <color theme="1"/>
      </rPr>
      <t>Syntax  -</t>
    </r>
    <r>
      <rPr>
        <rFont val="Calibri"/>
        <b/>
        <color theme="1"/>
        <sz val="11.0"/>
      </rPr>
      <t>XLOOKUP(lookup_value, lookup_array, return_array, [if_not_found], [match_mode], [search_mode])</t>
    </r>
  </si>
  <si>
    <t>Hlookup</t>
  </si>
  <si>
    <r>
      <rPr>
        <rFont val="Calibri"/>
        <b/>
        <color theme="1"/>
        <sz val="11.0"/>
      </rPr>
      <t>1) HLOOKUP</t>
    </r>
    <r>
      <rPr>
        <rFont val="Calibri"/>
        <b val="0"/>
        <color theme="1"/>
        <sz val="11.0"/>
      </rPr>
      <t xml:space="preserve"> searches for a value in the </t>
    </r>
    <r>
      <rPr>
        <rFont val="Calibri"/>
        <b/>
        <color theme="1"/>
        <sz val="11.0"/>
      </rPr>
      <t>first row</t>
    </r>
    <r>
      <rPr>
        <rFont val="Calibri"/>
        <b val="0"/>
        <color theme="1"/>
        <sz val="11.0"/>
      </rPr>
      <t xml:space="preserve"> of a table and returns a value from a specified row to the bottom</t>
    </r>
  </si>
  <si>
    <t>2) Only searches top → bottom directly.</t>
  </si>
  <si>
    <t>4) The Lookup value must be present in the first row of the data range</t>
  </si>
  <si>
    <t xml:space="preserve">5) The function breaks if new row is inserted/deleted </t>
  </si>
  <si>
    <r>
      <rPr>
        <rFont val="Calibri"/>
        <color theme="1"/>
      </rPr>
      <t xml:space="preserve">Syntax - </t>
    </r>
    <r>
      <rPr>
        <rFont val="Calibri"/>
        <b/>
        <color theme="1"/>
        <sz val="11.0"/>
      </rPr>
      <t>HLOOKUP(lookup_value, table_array, row_index_num, [range_lookup])</t>
    </r>
  </si>
  <si>
    <t>Roll_No</t>
  </si>
  <si>
    <t>Name</t>
  </si>
  <si>
    <t>Age</t>
  </si>
  <si>
    <t>Score</t>
  </si>
  <si>
    <t>Location</t>
  </si>
  <si>
    <t>Static Vlookup</t>
  </si>
  <si>
    <t>Animesh</t>
  </si>
  <si>
    <t>Delhi</t>
  </si>
  <si>
    <t>VLOOKUP(lookup_value, table_array, col_index_num, False/True)</t>
  </si>
  <si>
    <t>Ankit</t>
  </si>
  <si>
    <t>Mumbai</t>
  </si>
  <si>
    <t>Priya</t>
  </si>
  <si>
    <t>Noida</t>
  </si>
  <si>
    <t>A2:E14</t>
  </si>
  <si>
    <t>Anjali</t>
  </si>
  <si>
    <t>Pulkit</t>
  </si>
  <si>
    <t>Bangalore</t>
  </si>
  <si>
    <t>Nitesh</t>
  </si>
  <si>
    <r>
      <rPr>
        <rFont val="Calibri"/>
        <color theme="1"/>
      </rPr>
      <t xml:space="preserve">Vlookup cant be applied </t>
    </r>
    <r>
      <rPr>
        <rFont val="Calibri"/>
        <b/>
        <color theme="1"/>
      </rPr>
      <t>directly</t>
    </r>
  </si>
  <si>
    <t>Ankush</t>
  </si>
  <si>
    <t>Ujjwal</t>
  </si>
  <si>
    <t>Dhruv</t>
  </si>
  <si>
    <t>Rahul</t>
  </si>
  <si>
    <t>Match()</t>
  </si>
  <si>
    <t>returns Index Number of the searched value in the Table array</t>
  </si>
  <si>
    <t>Match(Lookup_value,Lookup_Range,Match_Type)</t>
  </si>
  <si>
    <t>Vinay</t>
  </si>
  <si>
    <t>Index(array, row_num, col_num)</t>
  </si>
  <si>
    <t>Ankita</t>
  </si>
  <si>
    <t>Twarita</t>
  </si>
  <si>
    <t>Dynamic Vlookup</t>
  </si>
  <si>
    <t>Vlookup with Match</t>
  </si>
  <si>
    <t>Index</t>
  </si>
  <si>
    <t>Row_Num</t>
  </si>
  <si>
    <t>Col_Num</t>
  </si>
  <si>
    <t>Index with Match Example</t>
  </si>
  <si>
    <t>INDEX(B2:D11, MATCH(G1,A2:A11,0), MATCH(G2,B1:D1,0))</t>
  </si>
  <si>
    <t>XLOOKUP(lookup_value, lookup_array, return_array, [if_not_found], [match_mode], [search_mode])</t>
  </si>
  <si>
    <t>Order_ID</t>
  </si>
  <si>
    <t>Cust_ID</t>
  </si>
  <si>
    <t>Product</t>
  </si>
  <si>
    <t>City</t>
  </si>
  <si>
    <t>Quantity</t>
  </si>
  <si>
    <t>Price</t>
  </si>
  <si>
    <t>Payment Mode</t>
  </si>
  <si>
    <t>Ship Mode</t>
  </si>
  <si>
    <t>ORD_0711</t>
  </si>
  <si>
    <t>CT0192</t>
  </si>
  <si>
    <t>EarPods</t>
  </si>
  <si>
    <t>UPI</t>
  </si>
  <si>
    <t>Online</t>
  </si>
  <si>
    <t>Solve using Vlookup</t>
  </si>
  <si>
    <t>ORD_0712</t>
  </si>
  <si>
    <t>CT0193</t>
  </si>
  <si>
    <t>Shoes</t>
  </si>
  <si>
    <t>Cash</t>
  </si>
  <si>
    <t>Offline</t>
  </si>
  <si>
    <t>A2:H21</t>
  </si>
  <si>
    <t>ORD_0713</t>
  </si>
  <si>
    <t>CT0194</t>
  </si>
  <si>
    <t>Wall Decor</t>
  </si>
  <si>
    <t>Debit Card</t>
  </si>
  <si>
    <t>ORD_0719</t>
  </si>
  <si>
    <t>ORD_0714</t>
  </si>
  <si>
    <t>CT0195</t>
  </si>
  <si>
    <t>Laptop bag</t>
  </si>
  <si>
    <t>Pune</t>
  </si>
  <si>
    <t>Credit Card</t>
  </si>
  <si>
    <t>ORD_0725</t>
  </si>
  <si>
    <t>ORD_0715</t>
  </si>
  <si>
    <t>CT0196</t>
  </si>
  <si>
    <t>Kolkata</t>
  </si>
  <si>
    <t>ORD_0716</t>
  </si>
  <si>
    <t>CT0197</t>
  </si>
  <si>
    <t>ORD_0729</t>
  </si>
  <si>
    <t>ORD_0717</t>
  </si>
  <si>
    <t>CT0198</t>
  </si>
  <si>
    <t>ORD_0718</t>
  </si>
  <si>
    <t>CT0199</t>
  </si>
  <si>
    <t>CT0200</t>
  </si>
  <si>
    <t>ORD_0720</t>
  </si>
  <si>
    <t>CT0201</t>
  </si>
  <si>
    <t>Sandals</t>
  </si>
  <si>
    <t>Solve using Index-Match</t>
  </si>
  <si>
    <t>ORD_0721</t>
  </si>
  <si>
    <t>CT0202</t>
  </si>
  <si>
    <t>Cust_Id</t>
  </si>
  <si>
    <t>ORD_0722</t>
  </si>
  <si>
    <t>CT0203</t>
  </si>
  <si>
    <t>ORD_0723</t>
  </si>
  <si>
    <t>CT0204</t>
  </si>
  <si>
    <t>ORD_0724</t>
  </si>
  <si>
    <t>CT0205</t>
  </si>
  <si>
    <t>ORD_0787</t>
  </si>
  <si>
    <t>CT0206</t>
  </si>
  <si>
    <t>Stationary Kit</t>
  </si>
  <si>
    <t>ORD_0726</t>
  </si>
  <si>
    <t>CT0207</t>
  </si>
  <si>
    <t>ORD_0727</t>
  </si>
  <si>
    <t>CT0208</t>
  </si>
  <si>
    <t>Chennai</t>
  </si>
  <si>
    <t>ORD_0728</t>
  </si>
  <si>
    <t>CT0209</t>
  </si>
  <si>
    <t>CT0210</t>
  </si>
  <si>
    <t>Solve using Xlookup</t>
  </si>
  <si>
    <t>ORD_0730</t>
  </si>
  <si>
    <t>CT0211</t>
  </si>
  <si>
    <t>CT0306</t>
  </si>
  <si>
    <t>ORD_0792</t>
  </si>
  <si>
    <t>Multisheet Vlookup</t>
  </si>
  <si>
    <t>Ex1</t>
  </si>
  <si>
    <t>Multisheet Xlookup</t>
  </si>
  <si>
    <t>Ex2</t>
  </si>
  <si>
    <t>C2:O6</t>
  </si>
  <si>
    <t>Dynamic Hlookup with Match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</si>
</sst>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8EAADB"/>
        <bgColor rgb="FF8EAADB"/>
      </patternFill>
    </fill>
  </fills>
  <borders count="13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2" fillId="2" fontId="1" numFmtId="0" xfId="0" applyAlignment="1" applyBorder="1" applyFont="1">
      <alignment horizontal="left"/>
    </xf>
    <xf borderId="3" fillId="0" fontId="4" numFmtId="0" xfId="0" applyBorder="1" applyFont="1"/>
    <xf borderId="0" fillId="0" fontId="1" numFmtId="0" xfId="0" applyFont="1"/>
    <xf borderId="4" fillId="0" fontId="3" numFmtId="0" xfId="0" applyBorder="1" applyFont="1"/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center"/>
    </xf>
    <xf borderId="1" fillId="3" fontId="1" numFmtId="0" xfId="0" applyBorder="1" applyFont="1"/>
    <xf borderId="5" fillId="4" fontId="1" numFmtId="0" xfId="0" applyBorder="1" applyFill="1" applyFont="1"/>
    <xf borderId="6" fillId="5" fontId="1" numFmtId="0" xfId="0" applyBorder="1" applyFill="1" applyFont="1"/>
    <xf borderId="7" fillId="5" fontId="1" numFmtId="0" xfId="0" applyBorder="1" applyFont="1"/>
    <xf borderId="1" fillId="4" fontId="1" numFmtId="0" xfId="0" applyBorder="1" applyFont="1"/>
    <xf borderId="1" fillId="5" fontId="1" numFmtId="0" xfId="0" applyBorder="1" applyFont="1"/>
    <xf borderId="1" fillId="6" fontId="1" numFmtId="0" xfId="0" applyBorder="1" applyFill="1" applyFont="1"/>
    <xf borderId="0" fillId="0" fontId="5" numFmtId="0" xfId="0" applyFont="1"/>
    <xf borderId="0" fillId="0" fontId="1" numFmtId="0" xfId="0" applyAlignment="1" applyFont="1">
      <alignment horizontal="center"/>
    </xf>
    <xf borderId="1" fillId="3" fontId="1" numFmtId="0" xfId="0" applyAlignment="1" applyBorder="1" applyFont="1">
      <alignment readingOrder="0"/>
    </xf>
    <xf borderId="2" fillId="2" fontId="1" numFmtId="0" xfId="0" applyAlignment="1" applyBorder="1" applyFont="1">
      <alignment horizontal="center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8" fillId="3" fontId="1" numFmtId="0" xfId="0" applyAlignment="1" applyBorder="1" applyFont="1">
      <alignment horizontal="center"/>
    </xf>
    <xf borderId="9" fillId="0" fontId="4" numFmtId="0" xfId="0" applyBorder="1" applyFont="1"/>
    <xf borderId="4" fillId="9" fontId="1" numFmtId="0" xfId="0" applyBorder="1" applyFill="1" applyFont="1"/>
    <xf borderId="0" fillId="0" fontId="2" numFmtId="0" xfId="0" applyAlignment="1" applyFont="1">
      <alignment horizontal="center"/>
    </xf>
    <xf borderId="8" fillId="2" fontId="1" numFmtId="0" xfId="0" applyAlignment="1" applyBorder="1" applyFont="1">
      <alignment horizontal="center"/>
    </xf>
    <xf borderId="10" fillId="0" fontId="4" numFmtId="0" xfId="0" applyBorder="1" applyFont="1"/>
    <xf borderId="11" fillId="4" fontId="1" numFmtId="0" xfId="0" applyAlignment="1" applyBorder="1" applyFont="1">
      <alignment horizontal="center"/>
    </xf>
    <xf borderId="11" fillId="9" fontId="1" numFmtId="0" xfId="0" applyAlignment="1" applyBorder="1" applyFont="1">
      <alignment horizontal="center"/>
    </xf>
    <xf borderId="12" fillId="9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" t="s">
        <v>0</v>
      </c>
    </row>
    <row r="3" ht="14.25" customHeight="1">
      <c r="B3" s="2" t="s">
        <v>1</v>
      </c>
    </row>
    <row r="4" ht="14.25" customHeight="1">
      <c r="B4" s="3" t="s">
        <v>2</v>
      </c>
      <c r="C4" s="3"/>
      <c r="D4" s="3"/>
    </row>
    <row r="5" ht="14.25" customHeight="1">
      <c r="B5" s="4" t="s">
        <v>3</v>
      </c>
    </row>
    <row r="6" ht="14.25" customHeight="1">
      <c r="B6" s="4" t="s">
        <v>4</v>
      </c>
    </row>
    <row r="7" ht="14.25" customHeight="1">
      <c r="B7" s="5" t="s">
        <v>5</v>
      </c>
    </row>
    <row r="8" ht="14.25" customHeight="1">
      <c r="B8" s="5" t="s">
        <v>6</v>
      </c>
    </row>
    <row r="9" ht="14.25" customHeight="1">
      <c r="B9" s="5" t="s">
        <v>7</v>
      </c>
    </row>
    <row r="10" ht="14.25" customHeight="1"/>
    <row r="11" ht="14.25" customHeight="1">
      <c r="B11" s="6" t="s">
        <v>8</v>
      </c>
      <c r="C11" s="7"/>
    </row>
    <row r="12" ht="14.25" customHeight="1">
      <c r="B12" s="8" t="s">
        <v>9</v>
      </c>
      <c r="Q12" s="9"/>
      <c r="R12" s="9"/>
      <c r="S12" s="9"/>
      <c r="T12" s="9"/>
    </row>
    <row r="13" ht="14.25" customHeight="1">
      <c r="B13" s="8" t="s">
        <v>10</v>
      </c>
      <c r="Q13" s="9"/>
      <c r="R13" s="9"/>
      <c r="S13" s="9"/>
      <c r="T13" s="9"/>
    </row>
    <row r="14" ht="14.25" customHeight="1">
      <c r="B14" s="5" t="s">
        <v>11</v>
      </c>
      <c r="Q14" s="9"/>
      <c r="R14" s="9"/>
      <c r="S14" s="9"/>
      <c r="T14" s="9"/>
    </row>
    <row r="15" ht="14.25" customHeight="1">
      <c r="B15" s="5" t="s">
        <v>12</v>
      </c>
      <c r="Q15" s="9"/>
      <c r="R15" s="9"/>
      <c r="S15" s="9"/>
      <c r="T15" s="9"/>
    </row>
    <row r="16" ht="14.25" customHeight="1">
      <c r="B16" s="5" t="s">
        <v>13</v>
      </c>
      <c r="Q16" s="9"/>
      <c r="R16" s="9"/>
      <c r="S16" s="9"/>
      <c r="T16" s="9"/>
    </row>
    <row r="17" ht="14.25" customHeight="1">
      <c r="B17" s="5" t="s">
        <v>14</v>
      </c>
      <c r="Q17" s="9"/>
      <c r="R17" s="9"/>
      <c r="S17" s="9"/>
      <c r="T17" s="9"/>
    </row>
    <row r="18" ht="14.25" customHeight="1">
      <c r="B18" s="5" t="s">
        <v>15</v>
      </c>
      <c r="Q18" s="9"/>
      <c r="R18" s="9"/>
      <c r="S18" s="9"/>
      <c r="T18" s="9"/>
    </row>
    <row r="19" ht="14.25" customHeight="1">
      <c r="B19" s="5" t="s">
        <v>6</v>
      </c>
      <c r="Q19" s="9"/>
      <c r="R19" s="9"/>
      <c r="S19" s="9"/>
      <c r="T19" s="9"/>
    </row>
    <row r="20" ht="14.25" customHeight="1">
      <c r="B20" s="5" t="s">
        <v>16</v>
      </c>
    </row>
    <row r="21" ht="14.25" customHeight="1">
      <c r="B21" s="5" t="s">
        <v>17</v>
      </c>
    </row>
    <row r="22" ht="14.25" customHeight="1"/>
    <row r="23" ht="14.25" customHeight="1"/>
    <row r="24" ht="14.25" customHeight="1">
      <c r="B24" s="1" t="s">
        <v>18</v>
      </c>
    </row>
    <row r="25" ht="14.25" customHeight="1">
      <c r="B25" s="5" t="s">
        <v>19</v>
      </c>
    </row>
    <row r="26" ht="14.25" customHeight="1">
      <c r="B26" s="5" t="s">
        <v>20</v>
      </c>
    </row>
    <row r="27" ht="14.25" customHeight="1">
      <c r="B27" s="5" t="s">
        <v>21</v>
      </c>
    </row>
    <row r="28" ht="14.25" customHeight="1">
      <c r="B28" s="5" t="s">
        <v>22</v>
      </c>
    </row>
    <row r="29" ht="14.25" customHeight="1">
      <c r="B29" s="10" t="s">
        <v>23</v>
      </c>
    </row>
    <row r="30" ht="14.25" customHeight="1">
      <c r="B30" s="5" t="s">
        <v>24</v>
      </c>
    </row>
    <row r="31" ht="14.25" customHeight="1"/>
    <row r="32" ht="14.25" customHeight="1"/>
    <row r="33" ht="14.25" customHeight="1"/>
    <row r="34" ht="14.25" customHeight="1">
      <c r="B34" s="1" t="s">
        <v>25</v>
      </c>
    </row>
    <row r="35" ht="14.25" customHeight="1">
      <c r="B35" s="2" t="s">
        <v>26</v>
      </c>
    </row>
    <row r="36" ht="14.25" customHeight="1">
      <c r="B36" s="3" t="s">
        <v>27</v>
      </c>
      <c r="C36" s="3"/>
      <c r="D36" s="3"/>
    </row>
    <row r="37" ht="14.25" customHeight="1">
      <c r="B37" s="4" t="s">
        <v>3</v>
      </c>
    </row>
    <row r="38" ht="14.25" customHeight="1">
      <c r="B38" s="4" t="s">
        <v>28</v>
      </c>
    </row>
    <row r="39" ht="14.25" customHeight="1">
      <c r="B39" s="5" t="s">
        <v>29</v>
      </c>
    </row>
    <row r="40" ht="14.25" customHeight="1">
      <c r="B40" s="5" t="s">
        <v>6</v>
      </c>
    </row>
    <row r="41" ht="14.25" customHeight="1">
      <c r="B41" s="5" t="s">
        <v>30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3:M3"/>
    <mergeCell ref="B5:D5"/>
    <mergeCell ref="B6:I6"/>
    <mergeCell ref="B11:C11"/>
    <mergeCell ref="B35:M35"/>
    <mergeCell ref="B37:D37"/>
    <mergeCell ref="B38:I3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9.29"/>
    <col customWidth="1" min="6" max="6" width="8.71"/>
    <col customWidth="1" min="7" max="7" width="19.29"/>
    <col customWidth="1" min="8" max="8" width="8.71"/>
    <col customWidth="1" min="9" max="9" width="11.0"/>
    <col customWidth="1" min="10" max="26" width="8.71"/>
  </cols>
  <sheetData>
    <row r="1" ht="14.25" customHeight="1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H1" s="12" t="s">
        <v>36</v>
      </c>
      <c r="I1" s="12"/>
    </row>
    <row r="2" ht="14.25" customHeight="1">
      <c r="A2" s="5">
        <v>121.0</v>
      </c>
      <c r="B2" s="5" t="s">
        <v>37</v>
      </c>
      <c r="C2" s="5">
        <v>22.0</v>
      </c>
      <c r="D2" s="5">
        <v>55.0</v>
      </c>
      <c r="E2" s="5" t="s">
        <v>38</v>
      </c>
      <c r="H2" s="13" t="s">
        <v>31</v>
      </c>
      <c r="I2" s="14" t="s">
        <v>32</v>
      </c>
      <c r="J2" s="14" t="s">
        <v>33</v>
      </c>
      <c r="K2" s="14" t="s">
        <v>34</v>
      </c>
      <c r="L2" s="15" t="s">
        <v>35</v>
      </c>
      <c r="P2" s="8" t="s">
        <v>39</v>
      </c>
      <c r="Q2" s="8"/>
      <c r="R2" s="8"/>
      <c r="S2" s="8"/>
      <c r="T2" s="8"/>
      <c r="U2" s="8"/>
      <c r="V2" s="8"/>
    </row>
    <row r="3" ht="14.25" customHeight="1">
      <c r="A3" s="5">
        <v>122.0</v>
      </c>
      <c r="B3" s="5" t="s">
        <v>40</v>
      </c>
      <c r="C3" s="5">
        <v>23.0</v>
      </c>
      <c r="D3" s="5">
        <v>63.0</v>
      </c>
      <c r="E3" s="5" t="s">
        <v>41</v>
      </c>
      <c r="H3" s="5">
        <v>125.0</v>
      </c>
      <c r="I3" s="5" t="str">
        <f>vlookup(H3,A2:E14,2,0) </f>
        <v>Pulkit</v>
      </c>
      <c r="J3" s="5">
        <f>vlookup(H3, A2:E14, 3,0)</f>
        <v>25</v>
      </c>
      <c r="K3" s="5">
        <f>vlookup(H3,A2:E14,4,0)</f>
        <v>74</v>
      </c>
      <c r="L3" s="5" t="str">
        <f>vlookup(H3,A2:E14,5,0)</f>
        <v>Bangalore</v>
      </c>
      <c r="P3" s="5" t="str">
        <f>FORMULATEXT(I3)</f>
        <v>=vlookup(H3,A2:E14,2,0) </v>
      </c>
    </row>
    <row r="4" ht="14.25" customHeight="1">
      <c r="A4" s="5">
        <v>123.0</v>
      </c>
      <c r="B4" s="5" t="s">
        <v>42</v>
      </c>
      <c r="C4" s="5">
        <v>24.0</v>
      </c>
      <c r="D4" s="5">
        <v>71.0</v>
      </c>
      <c r="E4" s="5" t="s">
        <v>43</v>
      </c>
      <c r="F4" s="5" t="s">
        <v>44</v>
      </c>
      <c r="H4" s="5">
        <v>129.0</v>
      </c>
    </row>
    <row r="5" ht="14.25" customHeight="1">
      <c r="A5" s="5">
        <v>124.0</v>
      </c>
      <c r="B5" s="5" t="s">
        <v>45</v>
      </c>
      <c r="C5" s="5">
        <v>21.0</v>
      </c>
      <c r="D5" s="5">
        <v>68.0</v>
      </c>
      <c r="E5" s="5" t="s">
        <v>41</v>
      </c>
    </row>
    <row r="6" ht="14.25" customHeight="1">
      <c r="A6" s="5">
        <v>125.0</v>
      </c>
      <c r="B6" s="5" t="s">
        <v>46</v>
      </c>
      <c r="C6" s="5">
        <v>25.0</v>
      </c>
      <c r="D6" s="5">
        <v>74.0</v>
      </c>
      <c r="E6" s="5" t="s">
        <v>47</v>
      </c>
      <c r="H6" s="16" t="s">
        <v>32</v>
      </c>
      <c r="I6" s="17" t="s">
        <v>34</v>
      </c>
      <c r="J6" s="17" t="s">
        <v>31</v>
      </c>
    </row>
    <row r="7" ht="14.25" customHeight="1">
      <c r="A7" s="5">
        <v>126.0</v>
      </c>
      <c r="B7" s="5" t="s">
        <v>48</v>
      </c>
      <c r="C7" s="5">
        <v>24.0</v>
      </c>
      <c r="D7" s="5">
        <v>81.0</v>
      </c>
      <c r="E7" s="5" t="s">
        <v>38</v>
      </c>
      <c r="H7" s="5" t="s">
        <v>40</v>
      </c>
      <c r="I7" s="10">
        <f>vlookup(H7,B2:E14,3,0) </f>
        <v>63</v>
      </c>
      <c r="J7" s="10" t="s">
        <v>49</v>
      </c>
    </row>
    <row r="8" ht="14.25" customHeight="1">
      <c r="A8" s="5">
        <v>127.0</v>
      </c>
      <c r="B8" s="5" t="s">
        <v>50</v>
      </c>
      <c r="C8" s="5">
        <v>23.0</v>
      </c>
      <c r="D8" s="5">
        <v>67.0</v>
      </c>
      <c r="E8" s="5" t="s">
        <v>41</v>
      </c>
      <c r="H8" s="5" t="s">
        <v>51</v>
      </c>
    </row>
    <row r="9" ht="14.25" customHeight="1">
      <c r="A9" s="5">
        <v>128.0</v>
      </c>
      <c r="B9" s="5" t="s">
        <v>52</v>
      </c>
      <c r="C9" s="5">
        <v>24.0</v>
      </c>
      <c r="D9" s="5">
        <v>80.0</v>
      </c>
      <c r="E9" s="5" t="s">
        <v>47</v>
      </c>
    </row>
    <row r="10" ht="14.25" customHeight="1">
      <c r="A10" s="5">
        <v>129.0</v>
      </c>
      <c r="B10" s="5" t="s">
        <v>53</v>
      </c>
      <c r="C10" s="5">
        <v>25.0</v>
      </c>
      <c r="D10" s="5">
        <v>74.0</v>
      </c>
      <c r="E10" s="5" t="s">
        <v>43</v>
      </c>
      <c r="H10" s="8" t="s">
        <v>54</v>
      </c>
      <c r="I10" s="5" t="s">
        <v>55</v>
      </c>
      <c r="P10" s="8" t="s">
        <v>56</v>
      </c>
      <c r="Q10" s="8"/>
      <c r="R10" s="8"/>
      <c r="S10" s="8"/>
      <c r="T10" s="8"/>
    </row>
    <row r="11" ht="14.25" customHeight="1">
      <c r="A11" s="5">
        <v>130.0</v>
      </c>
      <c r="B11" s="5" t="s">
        <v>57</v>
      </c>
      <c r="C11" s="5">
        <v>27.0</v>
      </c>
      <c r="D11" s="5">
        <v>47.0</v>
      </c>
      <c r="E11" s="5" t="s">
        <v>41</v>
      </c>
      <c r="I11" s="8" t="s">
        <v>33</v>
      </c>
      <c r="J11" s="8" t="s">
        <v>34</v>
      </c>
      <c r="K11" s="8" t="s">
        <v>32</v>
      </c>
      <c r="P11" s="8" t="s">
        <v>58</v>
      </c>
    </row>
    <row r="12" ht="14.25" customHeight="1">
      <c r="A12" s="5">
        <v>131.0</v>
      </c>
      <c r="B12" s="5" t="s">
        <v>51</v>
      </c>
      <c r="C12" s="5">
        <v>28.0</v>
      </c>
      <c r="D12" s="5">
        <v>91.0</v>
      </c>
      <c r="E12" s="5" t="s">
        <v>43</v>
      </c>
      <c r="I12" s="5">
        <f>Match(I11,A1:E1,0)</f>
        <v>3</v>
      </c>
      <c r="J12" s="5">
        <f>Match(J11,A1:E1,0)</f>
        <v>4</v>
      </c>
      <c r="K12" s="5">
        <f>match(K11,A1:E1,0)</f>
        <v>2</v>
      </c>
      <c r="Q12" s="8"/>
      <c r="R12" s="8"/>
    </row>
    <row r="13" ht="14.25" customHeight="1">
      <c r="A13" s="5">
        <v>132.0</v>
      </c>
      <c r="B13" s="5" t="s">
        <v>59</v>
      </c>
      <c r="C13" s="5">
        <v>26.0</v>
      </c>
      <c r="D13" s="5">
        <v>81.0</v>
      </c>
      <c r="E13" s="5" t="s">
        <v>47</v>
      </c>
      <c r="O13" s="5" t="str">
        <f>FORMULATEXT(I12)</f>
        <v>=Match(I11,A1:E1,0)</v>
      </c>
    </row>
    <row r="14" ht="14.25" customHeight="1">
      <c r="A14" s="5">
        <v>133.0</v>
      </c>
      <c r="B14" s="5" t="s">
        <v>60</v>
      </c>
      <c r="C14" s="5">
        <v>23.0</v>
      </c>
      <c r="D14" s="5">
        <v>87.0</v>
      </c>
      <c r="E14" s="5" t="s">
        <v>38</v>
      </c>
    </row>
    <row r="15" ht="14.25" customHeight="1">
      <c r="H15" s="12" t="s">
        <v>61</v>
      </c>
      <c r="I15" s="12"/>
      <c r="J15" s="8" t="s">
        <v>62</v>
      </c>
      <c r="K15" s="8"/>
    </row>
    <row r="16" ht="14.25" customHeight="1">
      <c r="H16" s="13" t="s">
        <v>31</v>
      </c>
      <c r="I16" s="14" t="s">
        <v>34</v>
      </c>
      <c r="J16" s="14" t="s">
        <v>33</v>
      </c>
      <c r="K16" s="14" t="s">
        <v>32</v>
      </c>
      <c r="L16" s="15" t="s">
        <v>35</v>
      </c>
    </row>
    <row r="17" ht="14.25" customHeight="1">
      <c r="B17" s="5" t="s">
        <v>63</v>
      </c>
      <c r="C17" s="17" t="s">
        <v>64</v>
      </c>
      <c r="D17" s="17" t="s">
        <v>65</v>
      </c>
      <c r="H17" s="5">
        <v>125.0</v>
      </c>
      <c r="I17" s="10">
        <f t="shared" ref="I17:L17" si="1">Iferror(vlookup($H17,$A$2:$E$14,Match(I$16,$A$1:$E$1,0),0),"None")</f>
        <v>74</v>
      </c>
      <c r="J17" s="10">
        <f t="shared" si="1"/>
        <v>25</v>
      </c>
      <c r="K17" s="10" t="str">
        <f t="shared" si="1"/>
        <v>Pulkit</v>
      </c>
      <c r="L17" s="10" t="str">
        <f t="shared" si="1"/>
        <v>Bangalore</v>
      </c>
      <c r="O17" s="5" t="str">
        <f>FORMULATEXT(I17)</f>
        <v>=Iferror(vlookup($H17,$A$2:$E$14,Match(I$16,$A$1:$E$1,0),0),"None")</v>
      </c>
    </row>
    <row r="18" ht="14.25" customHeight="1">
      <c r="C18" s="5">
        <v>4.0</v>
      </c>
      <c r="D18" s="5">
        <v>5.0</v>
      </c>
      <c r="H18" s="5">
        <v>131.0</v>
      </c>
      <c r="I18" s="10">
        <f t="shared" ref="I18:L18" si="2">Iferror(vlookup($H18,$A$2:$E$14,Match(I$16,$A$1:$E$1,0),0),"None")</f>
        <v>91</v>
      </c>
      <c r="J18" s="10">
        <f t="shared" si="2"/>
        <v>28</v>
      </c>
      <c r="K18" s="10" t="str">
        <f t="shared" si="2"/>
        <v>Ujjwal</v>
      </c>
      <c r="L18" s="10" t="str">
        <f t="shared" si="2"/>
        <v>Noida</v>
      </c>
    </row>
    <row r="19" ht="14.25" customHeight="1">
      <c r="C19" s="5" t="str">
        <f t="array" ref="C19">Index(A2:E14, 4, 5)</f>
        <v>Mumbai</v>
      </c>
      <c r="E19" s="5" t="str">
        <f>FORMULATEXT(C19)</f>
        <v>=Index(A2:E14, 4, 5)</v>
      </c>
      <c r="H19" s="5">
        <v>128.0</v>
      </c>
      <c r="I19" s="10">
        <f t="shared" ref="I19:L19" si="3">Iferror(vlookup($H19,$A$2:$E$14,Match(I$16,$A$1:$E$1,0),0),"None")</f>
        <v>80</v>
      </c>
      <c r="J19" s="10">
        <f t="shared" si="3"/>
        <v>24</v>
      </c>
      <c r="K19" s="10" t="str">
        <f t="shared" si="3"/>
        <v>Dhruv</v>
      </c>
      <c r="L19" s="10" t="str">
        <f t="shared" si="3"/>
        <v>Bangalore</v>
      </c>
    </row>
    <row r="20" ht="14.25" customHeight="1">
      <c r="H20" s="5">
        <v>145.0</v>
      </c>
      <c r="I20" s="10" t="str">
        <f t="shared" ref="I20:L20" si="4">Iferror(vlookup($H20,$A$2:$E$14,Match(I$16,$A$1:$E$1,0),0),"None")</f>
        <v>None</v>
      </c>
      <c r="J20" s="10" t="str">
        <f t="shared" si="4"/>
        <v>None</v>
      </c>
      <c r="K20" s="10" t="str">
        <f t="shared" si="4"/>
        <v>None</v>
      </c>
      <c r="L20" s="10" t="str">
        <f t="shared" si="4"/>
        <v>None</v>
      </c>
    </row>
    <row r="21" ht="14.25" customHeight="1"/>
    <row r="22" ht="14.25" customHeight="1">
      <c r="B22" s="18" t="s">
        <v>31</v>
      </c>
      <c r="C22" s="17" t="s">
        <v>32</v>
      </c>
      <c r="D22" s="17" t="s">
        <v>34</v>
      </c>
    </row>
    <row r="23" ht="14.25" customHeight="1">
      <c r="B23" s="5">
        <v>130.0</v>
      </c>
      <c r="C23" s="5" t="str">
        <f t="shared" ref="C23:D23" si="5">index($A$2:$E$14,Match($B23,$A$2:$A$14,0),Match(C$22,$A$1:$E$1,0))</f>
        <v>Vinay</v>
      </c>
      <c r="D23" s="5">
        <f t="shared" si="5"/>
        <v>47</v>
      </c>
      <c r="H23" s="12" t="s">
        <v>8</v>
      </c>
      <c r="I23" s="12"/>
      <c r="P23" s="5" t="s">
        <v>66</v>
      </c>
    </row>
    <row r="24" ht="14.25" customHeight="1">
      <c r="B24" s="5">
        <v>127.0</v>
      </c>
      <c r="C24" s="5" t="str">
        <f t="shared" ref="C24:D24" si="6">index($A$2:$E$14,Match($B24,$A$2:$A$14,0),Match(C$22,$A$1:$E$1,0))</f>
        <v>Ankush</v>
      </c>
      <c r="D24" s="5">
        <f t="shared" si="6"/>
        <v>67</v>
      </c>
      <c r="H24" s="13" t="s">
        <v>32</v>
      </c>
      <c r="I24" s="14" t="s">
        <v>33</v>
      </c>
      <c r="J24" s="14" t="s">
        <v>31</v>
      </c>
      <c r="K24" s="14" t="s">
        <v>35</v>
      </c>
      <c r="L24" s="15" t="s">
        <v>34</v>
      </c>
      <c r="P24" s="8" t="s">
        <v>67</v>
      </c>
      <c r="Q24" s="8"/>
      <c r="R24" s="8"/>
      <c r="S24" s="8"/>
      <c r="T24" s="8"/>
      <c r="U24" s="8"/>
    </row>
    <row r="25" ht="14.25" customHeight="1">
      <c r="H25" s="5" t="s">
        <v>59</v>
      </c>
      <c r="I25" s="5">
        <f t="shared" ref="I25:L25" si="7">index($A$2:$E$14,Match($H25,$B$2:$B$14,0), Match(I$24, $A$1:$E$1,0))</f>
        <v>26</v>
      </c>
      <c r="J25" s="5">
        <f t="shared" si="7"/>
        <v>132</v>
      </c>
      <c r="K25" s="5" t="str">
        <f t="shared" si="7"/>
        <v>Bangalore</v>
      </c>
      <c r="L25" s="5">
        <f t="shared" si="7"/>
        <v>81</v>
      </c>
    </row>
    <row r="26" ht="14.25" customHeight="1">
      <c r="H26" s="5" t="s">
        <v>57</v>
      </c>
      <c r="I26" s="5">
        <f t="shared" ref="I26:L26" si="8">index($A$2:$E$14,Match($H26,$B$2:$B$14,0), Match(I$24, $A$1:$E$1,0))</f>
        <v>27</v>
      </c>
      <c r="J26" s="5">
        <f t="shared" si="8"/>
        <v>130</v>
      </c>
      <c r="K26" s="5" t="str">
        <f t="shared" si="8"/>
        <v>Mumbai</v>
      </c>
      <c r="L26" s="5">
        <f t="shared" si="8"/>
        <v>47</v>
      </c>
      <c r="P26" s="19" t="str">
        <f>FORMULATEXT(I25)</f>
        <v>=index($A$2:$E$14,Match($H25,$B$2:$B$14,0), Match(I$24, $A$1:$E$1,0))</v>
      </c>
    </row>
    <row r="27" ht="14.25" customHeight="1">
      <c r="H27" s="5" t="s">
        <v>37</v>
      </c>
      <c r="I27" s="5">
        <f t="shared" ref="I27:L27" si="9">index($A$2:$E$14,Match($H27,$B$2:$B$14,0), Match(I$24, $A$1:$E$1,0))</f>
        <v>22</v>
      </c>
      <c r="J27" s="5">
        <f t="shared" si="9"/>
        <v>121</v>
      </c>
      <c r="K27" s="5" t="str">
        <f t="shared" si="9"/>
        <v>Delhi</v>
      </c>
      <c r="L27" s="5">
        <f t="shared" si="9"/>
        <v>55</v>
      </c>
    </row>
    <row r="28" ht="14.25" customHeight="1">
      <c r="A28" s="19" t="str">
        <f>FORMULATEXT(C23)</f>
        <v>=index($A$2:$E$14,Match($B23,$A$2:$A$14,0),Match(C$22,$A$1:$E$1,0))</v>
      </c>
    </row>
    <row r="29" ht="14.25" customHeight="1"/>
    <row r="30" ht="14.25" customHeight="1"/>
    <row r="31" ht="14.25" customHeight="1">
      <c r="H31" s="12" t="s">
        <v>18</v>
      </c>
      <c r="P31" s="20" t="s">
        <v>68</v>
      </c>
    </row>
    <row r="32" ht="14.25" customHeight="1">
      <c r="H32" s="13" t="s">
        <v>31</v>
      </c>
      <c r="I32" s="14" t="s">
        <v>35</v>
      </c>
      <c r="J32" s="14" t="s">
        <v>32</v>
      </c>
      <c r="K32" s="14" t="s">
        <v>34</v>
      </c>
      <c r="L32" s="15" t="s">
        <v>33</v>
      </c>
    </row>
    <row r="33" ht="14.25" customHeight="1">
      <c r="H33" s="5">
        <v>126.0</v>
      </c>
      <c r="I33" s="10" t="str">
        <f t="array" ref="I33">xlookup($H33,$A$2:$A$14,$E$2:$E$14,"none")</f>
        <v>Delhi</v>
      </c>
      <c r="J33" s="5" t="str">
        <f t="shared" ref="J33:J36" si="10">xlookup($H33,$A$2:$A$14, $B$2:$B$14,"None")</f>
        <v>Nitesh</v>
      </c>
      <c r="K33" s="5">
        <f t="shared" ref="K33:K36" si="11">xlookup(H33,$A$2:$A$14, $D$2:$D$14,"None")</f>
        <v>81</v>
      </c>
      <c r="L33" s="5">
        <f t="shared" ref="L33:L36" si="12">xlookup($H33, $A$2:$A$14, $C$2:$C$14,"None")</f>
        <v>24</v>
      </c>
    </row>
    <row r="34" ht="14.25" customHeight="1">
      <c r="H34" s="5">
        <v>123.0</v>
      </c>
      <c r="I34" s="5" t="str">
        <f t="shared" ref="I34:I36" si="13">xlookup($H34,$A$2:$A$14,$E$2:$E$14,"None")</f>
        <v>Noida</v>
      </c>
      <c r="J34" s="5" t="str">
        <f t="shared" si="10"/>
        <v>Priya</v>
      </c>
      <c r="K34" s="5">
        <f t="shared" si="11"/>
        <v>71</v>
      </c>
      <c r="L34" s="5">
        <f t="shared" si="12"/>
        <v>24</v>
      </c>
    </row>
    <row r="35" ht="14.25" customHeight="1">
      <c r="H35" s="5">
        <v>128.0</v>
      </c>
      <c r="I35" s="5" t="str">
        <f t="shared" si="13"/>
        <v>Bangalore</v>
      </c>
      <c r="J35" s="5" t="str">
        <f t="shared" si="10"/>
        <v>Dhruv</v>
      </c>
      <c r="K35" s="5">
        <f t="shared" si="11"/>
        <v>80</v>
      </c>
      <c r="L35" s="5">
        <f t="shared" si="12"/>
        <v>24</v>
      </c>
    </row>
    <row r="36" ht="14.25" customHeight="1">
      <c r="H36" s="5">
        <v>185.0</v>
      </c>
      <c r="I36" s="5" t="str">
        <f t="shared" si="13"/>
        <v>None</v>
      </c>
      <c r="J36" s="5" t="str">
        <f t="shared" si="10"/>
        <v>None</v>
      </c>
      <c r="K36" s="5" t="str">
        <f t="shared" si="11"/>
        <v>None</v>
      </c>
      <c r="L36" s="5" t="str">
        <f t="shared" si="12"/>
        <v>None</v>
      </c>
    </row>
    <row r="37" ht="14.25" customHeight="1"/>
    <row r="38" ht="14.25" customHeight="1"/>
    <row r="39" ht="14.25" customHeight="1">
      <c r="I39" s="19" t="str">
        <f>FORMULATEXT(I33)</f>
        <v>=xlookup($H33,$A$2:$A$14,$E$2:$E$14,"none")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P31:Y3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6" width="8.71"/>
    <col customWidth="1" min="7" max="7" width="14.0"/>
    <col customWidth="1" min="8" max="8" width="10.29"/>
    <col customWidth="1" min="9" max="10" width="8.71"/>
    <col customWidth="1" min="11" max="11" width="12.43"/>
    <col customWidth="1" min="12" max="12" width="10.86"/>
    <col customWidth="1" min="13" max="13" width="14.0"/>
    <col customWidth="1" min="14" max="14" width="13.43"/>
    <col customWidth="1" min="15" max="26" width="8.71"/>
  </cols>
  <sheetData>
    <row r="1" ht="14.25" customHeight="1">
      <c r="A1" s="12" t="s">
        <v>69</v>
      </c>
      <c r="B1" s="12" t="s">
        <v>70</v>
      </c>
      <c r="C1" s="12" t="s">
        <v>71</v>
      </c>
      <c r="D1" s="12" t="s">
        <v>72</v>
      </c>
      <c r="E1" s="12" t="s">
        <v>73</v>
      </c>
      <c r="F1" s="12" t="s">
        <v>74</v>
      </c>
      <c r="G1" s="12" t="s">
        <v>75</v>
      </c>
      <c r="H1" s="21" t="s">
        <v>76</v>
      </c>
    </row>
    <row r="2" ht="14.25" customHeight="1">
      <c r="A2" s="5" t="s">
        <v>77</v>
      </c>
      <c r="B2" s="5" t="s">
        <v>78</v>
      </c>
      <c r="C2" s="5" t="s">
        <v>79</v>
      </c>
      <c r="D2" s="5" t="s">
        <v>43</v>
      </c>
      <c r="E2" s="5">
        <v>3.0</v>
      </c>
      <c r="F2" s="5">
        <v>1300.0</v>
      </c>
      <c r="G2" s="5" t="s">
        <v>80</v>
      </c>
      <c r="H2" s="5" t="s">
        <v>81</v>
      </c>
      <c r="K2" s="22" t="s">
        <v>82</v>
      </c>
      <c r="L2" s="7"/>
    </row>
    <row r="3" ht="14.25" customHeight="1">
      <c r="A3" s="5" t="s">
        <v>83</v>
      </c>
      <c r="B3" s="5" t="s">
        <v>84</v>
      </c>
      <c r="C3" s="5" t="s">
        <v>85</v>
      </c>
      <c r="D3" s="5" t="s">
        <v>38</v>
      </c>
      <c r="E3" s="5">
        <v>2.0</v>
      </c>
      <c r="F3" s="5">
        <v>2500.0</v>
      </c>
      <c r="G3" s="5" t="s">
        <v>86</v>
      </c>
      <c r="H3" s="5" t="s">
        <v>87</v>
      </c>
      <c r="J3" s="5" t="s">
        <v>88</v>
      </c>
      <c r="K3" s="18" t="s">
        <v>69</v>
      </c>
      <c r="L3" s="17" t="s">
        <v>71</v>
      </c>
      <c r="M3" s="17" t="s">
        <v>75</v>
      </c>
      <c r="N3" s="17" t="s">
        <v>72</v>
      </c>
      <c r="O3" s="17" t="s">
        <v>73</v>
      </c>
      <c r="P3" s="17" t="s">
        <v>70</v>
      </c>
    </row>
    <row r="4" ht="14.25" customHeight="1">
      <c r="A4" s="5" t="s">
        <v>89</v>
      </c>
      <c r="B4" s="5" t="s">
        <v>90</v>
      </c>
      <c r="C4" s="5" t="s">
        <v>91</v>
      </c>
      <c r="D4" s="5" t="s">
        <v>41</v>
      </c>
      <c r="E4" s="5">
        <v>1.0</v>
      </c>
      <c r="F4" s="5">
        <v>850.0</v>
      </c>
      <c r="G4" s="5" t="s">
        <v>92</v>
      </c>
      <c r="H4" s="5" t="s">
        <v>81</v>
      </c>
      <c r="K4" s="5" t="s">
        <v>93</v>
      </c>
      <c r="L4" s="5" t="str">
        <f t="shared" ref="L4:P4" si="1">vlookup($K4,$A$2:$H$21,Match(L$3,$A$1:$H$1,0),0)</f>
        <v>Laptop bag</v>
      </c>
      <c r="M4" s="5" t="str">
        <f t="shared" si="1"/>
        <v>UPI</v>
      </c>
      <c r="N4" s="5" t="str">
        <f t="shared" si="1"/>
        <v>Mumbai</v>
      </c>
      <c r="O4" s="5">
        <f t="shared" si="1"/>
        <v>3</v>
      </c>
      <c r="P4" s="5" t="str">
        <f t="shared" si="1"/>
        <v>CT0200</v>
      </c>
    </row>
    <row r="5" ht="14.25" customHeight="1">
      <c r="A5" s="5" t="s">
        <v>94</v>
      </c>
      <c r="B5" s="5" t="s">
        <v>95</v>
      </c>
      <c r="C5" s="5" t="s">
        <v>96</v>
      </c>
      <c r="D5" s="5" t="s">
        <v>97</v>
      </c>
      <c r="E5" s="5">
        <v>3.0</v>
      </c>
      <c r="F5" s="5">
        <v>1350.0</v>
      </c>
      <c r="G5" s="5" t="s">
        <v>98</v>
      </c>
      <c r="H5" s="5" t="s">
        <v>81</v>
      </c>
      <c r="K5" s="5" t="s">
        <v>99</v>
      </c>
      <c r="L5" s="5" t="str">
        <f t="shared" ref="L5:P5" si="2">vlookup($K5,$A$2:$H$21,Match(L$3,$A$1:$H$1,0),0)</f>
        <v>Stationary Kit</v>
      </c>
      <c r="M5" s="5" t="str">
        <f t="shared" si="2"/>
        <v>UPI</v>
      </c>
      <c r="N5" s="5" t="str">
        <f t="shared" si="2"/>
        <v>Delhi</v>
      </c>
      <c r="O5" s="5">
        <f t="shared" si="2"/>
        <v>4</v>
      </c>
      <c r="P5" s="5" t="str">
        <f t="shared" si="2"/>
        <v>CT0206</v>
      </c>
    </row>
    <row r="6" ht="14.25" customHeight="1">
      <c r="A6" s="5" t="s">
        <v>100</v>
      </c>
      <c r="B6" s="5" t="s">
        <v>101</v>
      </c>
      <c r="C6" s="5" t="s">
        <v>85</v>
      </c>
      <c r="D6" s="5" t="s">
        <v>102</v>
      </c>
      <c r="E6" s="5">
        <v>2.0</v>
      </c>
      <c r="F6" s="5">
        <v>3500.0</v>
      </c>
      <c r="G6" s="5" t="s">
        <v>86</v>
      </c>
      <c r="H6" s="5" t="s">
        <v>87</v>
      </c>
      <c r="K6" s="5" t="s">
        <v>83</v>
      </c>
      <c r="L6" s="5" t="str">
        <f t="shared" ref="L6:P6" si="3">vlookup($K6,$A$2:$H$21,Match(L$3,$A$1:$H$1,0),0)</f>
        <v>Shoes</v>
      </c>
      <c r="M6" s="5" t="str">
        <f t="shared" si="3"/>
        <v>Cash</v>
      </c>
      <c r="N6" s="5" t="str">
        <f t="shared" si="3"/>
        <v>Delhi</v>
      </c>
      <c r="O6" s="5">
        <f t="shared" si="3"/>
        <v>2</v>
      </c>
      <c r="P6" s="5" t="str">
        <f t="shared" si="3"/>
        <v>CT0193</v>
      </c>
    </row>
    <row r="7" ht="14.25" customHeight="1">
      <c r="A7" s="5" t="s">
        <v>103</v>
      </c>
      <c r="B7" s="5" t="s">
        <v>104</v>
      </c>
      <c r="C7" s="5" t="s">
        <v>91</v>
      </c>
      <c r="D7" s="5" t="s">
        <v>102</v>
      </c>
      <c r="E7" s="5">
        <v>4.0</v>
      </c>
      <c r="F7" s="5">
        <v>650.0</v>
      </c>
      <c r="G7" s="5" t="s">
        <v>98</v>
      </c>
      <c r="H7" s="5" t="s">
        <v>87</v>
      </c>
      <c r="K7" s="5" t="s">
        <v>105</v>
      </c>
      <c r="L7" s="5" t="str">
        <f t="shared" ref="L7:P7" si="4">vlookup($K7,$A$2:$H$21,Match(L$3,$A$1:$H$1,0),0)</f>
        <v>Shoes</v>
      </c>
      <c r="M7" s="5" t="str">
        <f t="shared" si="4"/>
        <v>Credit Card</v>
      </c>
      <c r="N7" s="5" t="str">
        <f t="shared" si="4"/>
        <v>Chennai</v>
      </c>
      <c r="O7" s="5">
        <f t="shared" si="4"/>
        <v>3</v>
      </c>
      <c r="P7" s="5" t="str">
        <f t="shared" si="4"/>
        <v>CT0210</v>
      </c>
    </row>
    <row r="8" ht="14.25" customHeight="1">
      <c r="A8" s="5" t="s">
        <v>106</v>
      </c>
      <c r="B8" s="5" t="s">
        <v>107</v>
      </c>
      <c r="C8" s="5" t="s">
        <v>79</v>
      </c>
      <c r="D8" s="5" t="s">
        <v>97</v>
      </c>
      <c r="E8" s="5">
        <v>1.0</v>
      </c>
      <c r="F8" s="5">
        <v>1500.0</v>
      </c>
      <c r="G8" s="5" t="s">
        <v>86</v>
      </c>
      <c r="H8" s="5" t="s">
        <v>87</v>
      </c>
    </row>
    <row r="9" ht="14.25" customHeight="1">
      <c r="A9" s="5" t="s">
        <v>108</v>
      </c>
      <c r="B9" s="5" t="s">
        <v>109</v>
      </c>
      <c r="C9" s="5" t="s">
        <v>85</v>
      </c>
      <c r="D9" s="5" t="s">
        <v>38</v>
      </c>
      <c r="E9" s="5">
        <v>5.0</v>
      </c>
      <c r="F9" s="5">
        <v>2500.0</v>
      </c>
      <c r="G9" s="5" t="s">
        <v>98</v>
      </c>
      <c r="H9" s="5" t="s">
        <v>81</v>
      </c>
      <c r="L9" s="19" t="str">
        <f>FORMULATEXT(L4)</f>
        <v>=vlookup($K4,$A$2:$H$21,Match(L$3,$A$1:$H$1,0),0)</v>
      </c>
    </row>
    <row r="10" ht="14.25" customHeight="1">
      <c r="A10" s="5" t="s">
        <v>93</v>
      </c>
      <c r="B10" s="5" t="s">
        <v>110</v>
      </c>
      <c r="C10" s="5" t="s">
        <v>96</v>
      </c>
      <c r="D10" s="5" t="s">
        <v>41</v>
      </c>
      <c r="E10" s="5">
        <v>3.0</v>
      </c>
      <c r="F10" s="5">
        <v>1500.0</v>
      </c>
      <c r="G10" s="5" t="s">
        <v>80</v>
      </c>
      <c r="H10" s="5" t="s">
        <v>81</v>
      </c>
    </row>
    <row r="11" ht="14.25" customHeight="1">
      <c r="A11" s="5" t="s">
        <v>111</v>
      </c>
      <c r="B11" s="5" t="s">
        <v>112</v>
      </c>
      <c r="C11" s="5" t="s">
        <v>113</v>
      </c>
      <c r="D11" s="5" t="s">
        <v>43</v>
      </c>
      <c r="E11" s="5">
        <v>2.0</v>
      </c>
      <c r="F11" s="5">
        <v>700.0</v>
      </c>
      <c r="G11" s="5" t="s">
        <v>86</v>
      </c>
      <c r="H11" s="5" t="s">
        <v>87</v>
      </c>
      <c r="K11" s="1" t="s">
        <v>114</v>
      </c>
      <c r="L11" s="1"/>
    </row>
    <row r="12" ht="14.25" customHeight="1">
      <c r="A12" s="5" t="s">
        <v>115</v>
      </c>
      <c r="B12" s="5" t="s">
        <v>116</v>
      </c>
      <c r="C12" s="5" t="s">
        <v>96</v>
      </c>
      <c r="D12" s="5" t="s">
        <v>38</v>
      </c>
      <c r="E12" s="5">
        <v>1.0</v>
      </c>
      <c r="F12" s="5">
        <v>950.0</v>
      </c>
      <c r="G12" s="5" t="s">
        <v>98</v>
      </c>
      <c r="H12" s="5" t="s">
        <v>81</v>
      </c>
      <c r="K12" s="18" t="s">
        <v>69</v>
      </c>
      <c r="L12" s="17" t="s">
        <v>72</v>
      </c>
      <c r="M12" s="17" t="s">
        <v>71</v>
      </c>
      <c r="N12" s="17" t="s">
        <v>117</v>
      </c>
      <c r="O12" s="17" t="s">
        <v>74</v>
      </c>
    </row>
    <row r="13" ht="14.25" customHeight="1">
      <c r="A13" s="5" t="s">
        <v>118</v>
      </c>
      <c r="B13" s="5" t="s">
        <v>119</v>
      </c>
      <c r="C13" s="5" t="s">
        <v>96</v>
      </c>
      <c r="D13" s="5" t="s">
        <v>41</v>
      </c>
      <c r="E13" s="5">
        <v>2.0</v>
      </c>
      <c r="F13" s="5">
        <v>1800.0</v>
      </c>
      <c r="G13" s="5" t="s">
        <v>80</v>
      </c>
      <c r="H13" s="5" t="s">
        <v>87</v>
      </c>
      <c r="K13" s="5" t="s">
        <v>108</v>
      </c>
      <c r="L13" s="5" t="str">
        <f t="shared" ref="L13:O13" si="5">Iferror(Index($A$2:$H$21,Match($K13,$A$2:$A$21,0),Match(L$12,$A$1:$H$1,0)),"None")</f>
        <v>Delhi</v>
      </c>
      <c r="M13" s="5" t="str">
        <f t="shared" si="5"/>
        <v>Shoes</v>
      </c>
      <c r="N13" s="5" t="str">
        <f t="shared" si="5"/>
        <v>CT0199</v>
      </c>
      <c r="O13" s="5">
        <f t="shared" si="5"/>
        <v>2500</v>
      </c>
    </row>
    <row r="14" ht="14.25" customHeight="1">
      <c r="A14" s="5" t="s">
        <v>120</v>
      </c>
      <c r="B14" s="5" t="s">
        <v>121</v>
      </c>
      <c r="C14" s="5" t="s">
        <v>113</v>
      </c>
      <c r="D14" s="5" t="s">
        <v>43</v>
      </c>
      <c r="E14" s="5">
        <v>2.0</v>
      </c>
      <c r="F14" s="5">
        <v>2300.0</v>
      </c>
      <c r="G14" s="5" t="s">
        <v>80</v>
      </c>
      <c r="H14" s="5" t="s">
        <v>87</v>
      </c>
      <c r="K14" s="5" t="s">
        <v>122</v>
      </c>
      <c r="L14" s="5" t="str">
        <f t="shared" ref="L14:O14" si="6">Iferror(Index($A$2:$H$21,Match($K14,$A$2:$A$21,0),Match(L$12,$A$1:$H$1,0)),"None")</f>
        <v>Mumbai</v>
      </c>
      <c r="M14" s="5" t="str">
        <f t="shared" si="6"/>
        <v>Shoes</v>
      </c>
      <c r="N14" s="5" t="str">
        <f t="shared" si="6"/>
        <v>CT0205</v>
      </c>
      <c r="O14" s="5">
        <f t="shared" si="6"/>
        <v>2800</v>
      </c>
    </row>
    <row r="15" ht="14.25" customHeight="1">
      <c r="A15" s="5" t="s">
        <v>122</v>
      </c>
      <c r="B15" s="5" t="s">
        <v>123</v>
      </c>
      <c r="C15" s="5" t="s">
        <v>85</v>
      </c>
      <c r="D15" s="5" t="s">
        <v>41</v>
      </c>
      <c r="E15" s="5">
        <v>5.0</v>
      </c>
      <c r="F15" s="5">
        <v>2800.0</v>
      </c>
      <c r="G15" s="5" t="s">
        <v>92</v>
      </c>
      <c r="H15" s="5" t="s">
        <v>81</v>
      </c>
      <c r="K15" s="5" t="s">
        <v>124</v>
      </c>
      <c r="L15" s="5" t="str">
        <f t="shared" ref="L15:O15" si="7">Iferror(Index($A$2:$H$21,Match($K15,$A$2:$A$21,0),Match(L$12,$A$1:$H$1,0)),"None")</f>
        <v>None</v>
      </c>
      <c r="M15" s="5" t="str">
        <f t="shared" si="7"/>
        <v>None</v>
      </c>
      <c r="N15" s="5" t="str">
        <f t="shared" si="7"/>
        <v>None</v>
      </c>
      <c r="O15" s="5" t="str">
        <f t="shared" si="7"/>
        <v>None</v>
      </c>
    </row>
    <row r="16" ht="14.25" customHeight="1">
      <c r="A16" s="5" t="s">
        <v>99</v>
      </c>
      <c r="B16" s="5" t="s">
        <v>125</v>
      </c>
      <c r="C16" s="5" t="s">
        <v>126</v>
      </c>
      <c r="D16" s="5" t="s">
        <v>38</v>
      </c>
      <c r="E16" s="5">
        <v>4.0</v>
      </c>
      <c r="F16" s="5">
        <v>450.0</v>
      </c>
      <c r="G16" s="5" t="s">
        <v>80</v>
      </c>
      <c r="H16" s="5" t="s">
        <v>87</v>
      </c>
      <c r="K16" s="5" t="s">
        <v>105</v>
      </c>
      <c r="L16" s="5" t="str">
        <f t="shared" ref="L16:O16" si="8">Iferror(Index($A$2:$H$21,Match($K16,$A$2:$A$21,0),Match(L$12,$A$1:$H$1,0)),"None")</f>
        <v>Chennai</v>
      </c>
      <c r="M16" s="5" t="str">
        <f t="shared" si="8"/>
        <v>Shoes</v>
      </c>
      <c r="N16" s="5" t="str">
        <f t="shared" si="8"/>
        <v>CT0210</v>
      </c>
      <c r="O16" s="5">
        <f t="shared" si="8"/>
        <v>2700</v>
      </c>
    </row>
    <row r="17" ht="14.25" customHeight="1">
      <c r="A17" s="5" t="s">
        <v>127</v>
      </c>
      <c r="B17" s="5" t="s">
        <v>128</v>
      </c>
      <c r="C17" s="5" t="s">
        <v>91</v>
      </c>
      <c r="D17" s="5" t="s">
        <v>97</v>
      </c>
      <c r="E17" s="5">
        <v>1.0</v>
      </c>
      <c r="F17" s="5">
        <v>300.0</v>
      </c>
      <c r="G17" s="5" t="s">
        <v>86</v>
      </c>
      <c r="H17" s="5" t="s">
        <v>81</v>
      </c>
    </row>
    <row r="18" ht="14.25" customHeight="1">
      <c r="A18" s="5" t="s">
        <v>129</v>
      </c>
      <c r="B18" s="5" t="s">
        <v>130</v>
      </c>
      <c r="C18" s="5" t="s">
        <v>126</v>
      </c>
      <c r="D18" s="5" t="s">
        <v>131</v>
      </c>
      <c r="E18" s="5">
        <v>1.0</v>
      </c>
      <c r="F18" s="5">
        <v>750.0</v>
      </c>
      <c r="G18" s="5" t="s">
        <v>92</v>
      </c>
      <c r="H18" s="5" t="s">
        <v>87</v>
      </c>
      <c r="K18" s="19" t="str">
        <f>FORMULATEXT(L13)</f>
        <v>=Iferror(Index($A$2:$H$21,Match($K13,$A$2:$A$21,0),Match(L$12,$A$1:$H$1,0)),"None")</v>
      </c>
    </row>
    <row r="19" ht="14.25" customHeight="1">
      <c r="A19" s="5" t="s">
        <v>132</v>
      </c>
      <c r="B19" s="5" t="s">
        <v>133</v>
      </c>
      <c r="C19" s="5" t="s">
        <v>113</v>
      </c>
      <c r="D19" s="5" t="s">
        <v>43</v>
      </c>
      <c r="E19" s="5">
        <v>2.0</v>
      </c>
      <c r="F19" s="5">
        <v>1100.0</v>
      </c>
      <c r="G19" s="5" t="s">
        <v>92</v>
      </c>
      <c r="H19" s="5" t="s">
        <v>81</v>
      </c>
    </row>
    <row r="20" ht="14.25" customHeight="1">
      <c r="A20" s="5" t="s">
        <v>105</v>
      </c>
      <c r="B20" s="5" t="s">
        <v>134</v>
      </c>
      <c r="C20" s="5" t="s">
        <v>85</v>
      </c>
      <c r="D20" s="5" t="s">
        <v>131</v>
      </c>
      <c r="E20" s="5">
        <v>3.0</v>
      </c>
      <c r="F20" s="5">
        <v>2700.0</v>
      </c>
      <c r="G20" s="5" t="s">
        <v>98</v>
      </c>
      <c r="H20" s="5" t="s">
        <v>81</v>
      </c>
      <c r="K20" s="1" t="s">
        <v>135</v>
      </c>
      <c r="L20" s="1"/>
    </row>
    <row r="21" ht="14.25" customHeight="1">
      <c r="A21" s="5" t="s">
        <v>136</v>
      </c>
      <c r="B21" s="5" t="s">
        <v>137</v>
      </c>
      <c r="C21" s="5" t="s">
        <v>79</v>
      </c>
      <c r="D21" s="5" t="s">
        <v>97</v>
      </c>
      <c r="E21" s="5">
        <v>2.0</v>
      </c>
      <c r="F21" s="5">
        <v>1300.0</v>
      </c>
      <c r="G21" s="5" t="s">
        <v>80</v>
      </c>
      <c r="H21" s="5" t="s">
        <v>81</v>
      </c>
      <c r="K21" s="18" t="s">
        <v>70</v>
      </c>
      <c r="L21" s="17" t="s">
        <v>72</v>
      </c>
      <c r="M21" s="17" t="s">
        <v>74</v>
      </c>
      <c r="N21" s="17" t="s">
        <v>75</v>
      </c>
      <c r="O21" s="17" t="s">
        <v>69</v>
      </c>
    </row>
    <row r="22" ht="14.25" customHeight="1">
      <c r="K22" s="5" t="s">
        <v>110</v>
      </c>
      <c r="L22" s="5" t="str">
        <f t="shared" ref="L22:L24" si="9">xlookup($K22,$B$2:$B$21,$D$2:$D$21,"None")</f>
        <v>Mumbai</v>
      </c>
      <c r="M22" s="5">
        <f t="shared" ref="M22:M24" si="10">xlookup($K22,$B$2:$B$21,$F$2:$F$21,"None")</f>
        <v>1500</v>
      </c>
      <c r="N22" s="5" t="str">
        <f t="shared" ref="N22:N24" si="11">xlookup($K22,$B$2:$B$21,$G$2:$G$21,"None")</f>
        <v>UPI</v>
      </c>
      <c r="O22" s="5" t="str">
        <f t="shared" ref="O22:O24" si="12">xlookup($K22,$B$2:$B$21,$A$2:$A$21,"None")</f>
        <v>ORD_0719</v>
      </c>
    </row>
    <row r="23" ht="14.25" customHeight="1">
      <c r="K23" s="5" t="s">
        <v>133</v>
      </c>
      <c r="L23" s="5" t="str">
        <f t="shared" si="9"/>
        <v>Noida</v>
      </c>
      <c r="M23" s="5">
        <f t="shared" si="10"/>
        <v>1100</v>
      </c>
      <c r="N23" s="5" t="str">
        <f t="shared" si="11"/>
        <v>Debit Card</v>
      </c>
      <c r="O23" s="5" t="str">
        <f t="shared" si="12"/>
        <v>ORD_0728</v>
      </c>
    </row>
    <row r="24" ht="14.25" customHeight="1">
      <c r="K24" s="5" t="s">
        <v>138</v>
      </c>
      <c r="L24" s="5" t="str">
        <f t="shared" si="9"/>
        <v>None</v>
      </c>
      <c r="M24" s="5" t="str">
        <f t="shared" si="10"/>
        <v>None</v>
      </c>
      <c r="N24" s="5" t="str">
        <f t="shared" si="11"/>
        <v>None</v>
      </c>
      <c r="O24" s="5" t="str">
        <f t="shared" si="12"/>
        <v>None</v>
      </c>
    </row>
    <row r="25" ht="14.25" customHeight="1"/>
    <row r="26" ht="14.25" customHeight="1">
      <c r="K26" s="19" t="str">
        <f>FORMULATEXT(L22)</f>
        <v>=xlookup($K22,$B$2:$B$21,$D$2:$D$21,"None")</v>
      </c>
    </row>
    <row r="27" ht="14.25" customHeight="1"/>
    <row r="28" ht="14.25" customHeight="1"/>
    <row r="29" ht="14.25" customHeight="1"/>
    <row r="30" ht="14.25" customHeight="1"/>
    <row r="31" ht="14.25" customHeight="1">
      <c r="K31" s="23" t="s">
        <v>69</v>
      </c>
      <c r="L31" s="24" t="s">
        <v>71</v>
      </c>
      <c r="M31" s="24" t="s">
        <v>76</v>
      </c>
      <c r="N31" s="24" t="s">
        <v>72</v>
      </c>
      <c r="O31" s="24" t="s">
        <v>74</v>
      </c>
    </row>
    <row r="32" ht="14.25" customHeight="1">
      <c r="K32" s="5" t="s">
        <v>106</v>
      </c>
      <c r="L32" s="5" t="str">
        <f t="shared" ref="L32:O32" si="13">Iferror(Index($A$2:$H$21, Match($K32,$A$2:$A$21,0),Match(L$31,$A$1:$H$1,0)),"None")</f>
        <v>EarPods</v>
      </c>
      <c r="M32" s="5" t="str">
        <f t="shared" si="13"/>
        <v>Offline</v>
      </c>
      <c r="N32" s="5" t="str">
        <f t="shared" si="13"/>
        <v>Pune</v>
      </c>
      <c r="O32" s="5">
        <f t="shared" si="13"/>
        <v>1500</v>
      </c>
    </row>
    <row r="33" ht="14.25" customHeight="1">
      <c r="K33" s="5" t="s">
        <v>105</v>
      </c>
      <c r="L33" s="5" t="str">
        <f t="shared" ref="L33:O33" si="14">Iferror(Index($A$2:$H$21, Match($K33,$A$2:$A$21,0),Match(L$31,$A$1:$H$1,0)),"None")</f>
        <v>Shoes</v>
      </c>
      <c r="M33" s="5" t="str">
        <f t="shared" si="14"/>
        <v>Online</v>
      </c>
      <c r="N33" s="5" t="str">
        <f t="shared" si="14"/>
        <v>Chennai</v>
      </c>
      <c r="O33" s="5">
        <f t="shared" si="14"/>
        <v>2700</v>
      </c>
    </row>
    <row r="34" ht="14.25" customHeight="1">
      <c r="K34" s="10" t="s">
        <v>139</v>
      </c>
      <c r="L34" s="5" t="str">
        <f t="shared" ref="L34:O34" si="15">Iferror(Index($A$2:$H$21, Match($K34,$A$2:$A$21,0),Match(L$31,$A$1:$H$1,0)),"None")</f>
        <v>None</v>
      </c>
      <c r="M34" s="5" t="str">
        <f t="shared" si="15"/>
        <v>None</v>
      </c>
      <c r="N34" s="5" t="str">
        <f t="shared" si="15"/>
        <v>None</v>
      </c>
      <c r="O34" s="5" t="str">
        <f t="shared" si="15"/>
        <v>None</v>
      </c>
    </row>
    <row r="35" ht="14.25" customHeight="1">
      <c r="K35" s="10" t="s">
        <v>83</v>
      </c>
      <c r="L35" s="5" t="str">
        <f t="shared" ref="L35:O35" si="16">Iferror(Index($A$2:$H$21, Match($K35,$A$2:$A$21,0),Match(L$31,$A$1:$H$1,0)),"None")</f>
        <v>Shoes</v>
      </c>
      <c r="M35" s="5" t="str">
        <f t="shared" si="16"/>
        <v>Offline</v>
      </c>
      <c r="N35" s="5" t="str">
        <f t="shared" si="16"/>
        <v>Delhi</v>
      </c>
      <c r="O35" s="5">
        <f t="shared" si="16"/>
        <v>2500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K2:L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0.0"/>
    <col customWidth="1" min="11" max="11" width="8.71"/>
    <col customWidth="1" min="12" max="12" width="11.29"/>
    <col customWidth="1" min="13" max="13" width="8.71"/>
    <col customWidth="1" min="14" max="14" width="13.71"/>
    <col customWidth="1" min="15" max="26" width="8.71"/>
  </cols>
  <sheetData>
    <row r="1" ht="14.25" customHeight="1">
      <c r="B1" s="25" t="s">
        <v>140</v>
      </c>
      <c r="C1" s="26"/>
      <c r="E1" s="5" t="s">
        <v>44</v>
      </c>
      <c r="F1" s="5" t="s">
        <v>141</v>
      </c>
      <c r="J1" s="25" t="s">
        <v>142</v>
      </c>
      <c r="K1" s="26"/>
      <c r="L1" s="10" t="s">
        <v>88</v>
      </c>
      <c r="M1" s="10" t="s">
        <v>143</v>
      </c>
    </row>
    <row r="2" ht="14.25" customHeight="1">
      <c r="B2" s="13" t="s">
        <v>31</v>
      </c>
      <c r="C2" s="27" t="s">
        <v>32</v>
      </c>
      <c r="D2" s="27" t="s">
        <v>33</v>
      </c>
      <c r="E2" s="27" t="s">
        <v>34</v>
      </c>
      <c r="F2" s="27" t="s">
        <v>35</v>
      </c>
      <c r="J2" s="18" t="s">
        <v>69</v>
      </c>
      <c r="K2" s="17" t="s">
        <v>71</v>
      </c>
      <c r="L2" s="17" t="s">
        <v>72</v>
      </c>
      <c r="M2" s="17" t="s">
        <v>74</v>
      </c>
      <c r="N2" s="17" t="s">
        <v>75</v>
      </c>
      <c r="O2" s="8"/>
    </row>
    <row r="3" ht="14.25" customHeight="1">
      <c r="B3" s="5">
        <v>121.0</v>
      </c>
      <c r="C3" s="5" t="str">
        <f>Iferror(vlookup($B3,'Ex1'!$A$2:$E$14,Match(C$2,'Ex1'!$A$1:$E$1,0),0),"None")</f>
        <v>Animesh</v>
      </c>
      <c r="D3" s="5">
        <f>Iferror(vlookup($B3,'Ex1'!$A$2:$E$14,Match(D$2,'Ex1'!$A$1:$E$1,0),0),"None")</f>
        <v>22</v>
      </c>
      <c r="E3" s="5">
        <f>Iferror(vlookup($B3,'Ex1'!$A$2:$E$14,Match(E$2,'Ex1'!$A$1:$E$1,0),0),"None")</f>
        <v>55</v>
      </c>
      <c r="F3" s="5" t="str">
        <f>Iferror(vlookup($B3,'Ex1'!$A$2:$E$14,Match(F$2,'Ex1'!$A$1:$E$1,0),0),"None")</f>
        <v>Delhi</v>
      </c>
      <c r="J3" s="5" t="s">
        <v>108</v>
      </c>
      <c r="K3" s="5" t="str">
        <f t="array" ref="K3">xlookup($J3,'Ex2'!$A$2:$A$21,'Ex2'!C$2:C$21,"None")</f>
        <v>Shoes</v>
      </c>
      <c r="L3" s="5" t="str">
        <f t="array" ref="L3">xlookup($J3,'Ex2'!$A$2:$A$21,'Ex2'!D$2:D$21,"None")</f>
        <v>Delhi</v>
      </c>
      <c r="M3" s="5">
        <f t="array" ref="M3">xlookup($J3,'Ex2'!$A$2:$A$21,'Ex2'!F$2:F$21,"None")</f>
        <v>2500</v>
      </c>
      <c r="N3" s="5" t="str">
        <f t="array" ref="N3">xlookup($J3,'Ex2'!$A$2:$A$21,'Ex2'!G$2:G$21,"None")</f>
        <v>Credit Card</v>
      </c>
    </row>
    <row r="4" ht="14.25" customHeight="1">
      <c r="B4" s="5">
        <v>122.0</v>
      </c>
      <c r="C4" s="5" t="str">
        <f>Iferror(vlookup($B4,'Ex1'!$A$2:$E$14,Match(C$2,'Ex1'!$A$1:$E$1,0),0),"None")</f>
        <v>Ankit</v>
      </c>
      <c r="D4" s="5">
        <f>Iferror(vlookup($B4,'Ex1'!$A$2:$E$14,Match(D$2,'Ex1'!$A$1:$E$1,0),0),"None")</f>
        <v>23</v>
      </c>
      <c r="E4" s="5">
        <f>Iferror(vlookup($B4,'Ex1'!$A$2:$E$14,Match(E$2,'Ex1'!$A$1:$E$1,0),0),"None")</f>
        <v>63</v>
      </c>
      <c r="F4" s="5" t="str">
        <f>Iferror(vlookup($B4,'Ex1'!$A$2:$E$14,Match(F$2,'Ex1'!$A$1:$E$1,0),0),"None")</f>
        <v>Mumbai</v>
      </c>
      <c r="J4" s="5" t="s">
        <v>122</v>
      </c>
      <c r="K4" s="5" t="str">
        <f t="array" ref="K4">xlookup($J4,'Ex2'!$A$2:$A$21,'Ex2'!C$2:C$21,"None")</f>
        <v>Shoes</v>
      </c>
      <c r="L4" s="5" t="str">
        <f t="array" ref="L4">xlookup($J4,'Ex2'!$A$2:$A$21,'Ex2'!D$2:D$21,"None")</f>
        <v>Mumbai</v>
      </c>
      <c r="M4" s="5">
        <f t="array" ref="M4">xlookup($J4,'Ex2'!$A$2:$A$21,'Ex2'!F$2:F$21,"None")</f>
        <v>2800</v>
      </c>
      <c r="N4" s="5" t="str">
        <f t="array" ref="N4">xlookup($J4,'Ex2'!$A$2:$A$21,'Ex2'!G$2:G$21,"None")</f>
        <v>Debit Card</v>
      </c>
    </row>
    <row r="5" ht="14.25" customHeight="1">
      <c r="B5" s="5">
        <v>123.0</v>
      </c>
      <c r="C5" s="5" t="str">
        <f>Iferror(vlookup($B5,'Ex1'!$A$2:$E$14,Match(C$2,'Ex1'!$A$1:$E$1,0),0),"None")</f>
        <v>Priya</v>
      </c>
      <c r="D5" s="5">
        <f>Iferror(vlookup($B5,'Ex1'!$A$2:$E$14,Match(D$2,'Ex1'!$A$1:$E$1,0),0),"None")</f>
        <v>24</v>
      </c>
      <c r="E5" s="5">
        <f>Iferror(vlookup($B5,'Ex1'!$A$2:$E$14,Match(E$2,'Ex1'!$A$1:$E$1,0),0),"None")</f>
        <v>71</v>
      </c>
      <c r="F5" s="5" t="str">
        <f>Iferror(vlookup($B5,'Ex1'!$A$2:$E$14,Match(F$2,'Ex1'!$A$1:$E$1,0),0),"None")</f>
        <v>Noida</v>
      </c>
      <c r="J5" s="5" t="s">
        <v>124</v>
      </c>
      <c r="K5" s="5" t="str">
        <f t="array" ref="K5">xlookup($J5,'Ex2'!$A$2:$A$21,'Ex2'!C$2:C$21,"None")</f>
        <v>None</v>
      </c>
      <c r="L5" s="5" t="str">
        <f t="array" ref="L5">xlookup($J5,'Ex2'!$A$2:$A$21,'Ex2'!D$2:D$21,"None")</f>
        <v>None</v>
      </c>
      <c r="M5" s="5" t="str">
        <f t="array" ref="M5">xlookup($J5,'Ex2'!$A$2:$A$21,'Ex2'!F$2:F$21,"None")</f>
        <v>None</v>
      </c>
      <c r="N5" s="5" t="str">
        <f t="array" ref="N5">xlookup($J5,'Ex2'!$A$2:$A$21,'Ex2'!G$2:G$21,"None")</f>
        <v>None</v>
      </c>
    </row>
    <row r="6" ht="14.25" customHeight="1">
      <c r="B6" s="5">
        <v>124.0</v>
      </c>
      <c r="C6" s="5" t="str">
        <f>Iferror(vlookup($B6,'Ex1'!$A$2:$E$14,Match(C$2,'Ex1'!$A$1:$E$1,0),0),"None")</f>
        <v>Anjali</v>
      </c>
      <c r="D6" s="5">
        <f>Iferror(vlookup($B6,'Ex1'!$A$2:$E$14,Match(D$2,'Ex1'!$A$1:$E$1,0),0),"None")</f>
        <v>21</v>
      </c>
      <c r="E6" s="5">
        <f>Iferror(vlookup($B6,'Ex1'!$A$2:$E$14,Match(E$2,'Ex1'!$A$1:$E$1,0),0),"None")</f>
        <v>68</v>
      </c>
      <c r="F6" s="5" t="str">
        <f>Iferror(vlookup($B6,'Ex1'!$A$2:$E$14,Match(F$2,'Ex1'!$A$1:$E$1,0),0),"None")</f>
        <v>Mumbai</v>
      </c>
      <c r="J6" s="5" t="s">
        <v>105</v>
      </c>
      <c r="K6" s="5" t="str">
        <f t="array" ref="K6">xlookup($J6,'Ex2'!$A$2:$A$21,'Ex2'!C$2:C$21,"None")</f>
        <v>Shoes</v>
      </c>
      <c r="L6" s="5" t="str">
        <f t="array" ref="L6">xlookup($J6,'Ex2'!$A$2:$A$21,'Ex2'!D$2:D$21,"None")</f>
        <v>Chennai</v>
      </c>
      <c r="M6" s="5">
        <f t="array" ref="M6">xlookup($J6,'Ex2'!$A$2:$A$21,'Ex2'!F$2:F$21,"None")</f>
        <v>2700</v>
      </c>
      <c r="N6" s="5" t="str">
        <f t="array" ref="N6">xlookup($J6,'Ex2'!$A$2:$A$21,'Ex2'!G$2:G$21,"None")</f>
        <v>Credit Card</v>
      </c>
    </row>
    <row r="7" ht="14.25" customHeight="1">
      <c r="B7" s="5">
        <v>125.0</v>
      </c>
      <c r="C7" s="5" t="str">
        <f>Iferror(vlookup($B7,'Ex1'!$A$2:$E$14,Match(C$2,'Ex1'!$A$1:$E$1,0),0),"None")</f>
        <v>Pulkit</v>
      </c>
      <c r="D7" s="5">
        <f>Iferror(vlookup($B7,'Ex1'!$A$2:$E$14,Match(D$2,'Ex1'!$A$1:$E$1,0),0),"None")</f>
        <v>25</v>
      </c>
      <c r="E7" s="5">
        <f>Iferror(vlookup($B7,'Ex1'!$A$2:$E$14,Match(E$2,'Ex1'!$A$1:$E$1,0),0),"None")</f>
        <v>74</v>
      </c>
      <c r="F7" s="5" t="str">
        <f>Iferror(vlookup($B7,'Ex1'!$A$2:$E$14,Match(F$2,'Ex1'!$A$1:$E$1,0),0),"None")</f>
        <v>Bangalore</v>
      </c>
    </row>
    <row r="8" ht="14.25" customHeight="1">
      <c r="B8" s="5">
        <v>126.0</v>
      </c>
      <c r="C8" s="5" t="str">
        <f>Iferror(vlookup($B8,'Ex1'!$A$2:$E$14,Match(C$2,'Ex1'!$A$1:$E$1,0),0),"None")</f>
        <v>Nitesh</v>
      </c>
      <c r="D8" s="5">
        <f>Iferror(vlookup($B8,'Ex1'!$A$2:$E$14,Match(D$2,'Ex1'!$A$1:$E$1,0),0),"None")</f>
        <v>24</v>
      </c>
      <c r="E8" s="5">
        <f>Iferror(vlookup($B8,'Ex1'!$A$2:$E$14,Match(E$2,'Ex1'!$A$1:$E$1,0),0),"None")</f>
        <v>81</v>
      </c>
      <c r="F8" s="5" t="str">
        <f>Iferror(vlookup($B8,'Ex1'!$A$2:$E$14,Match(F$2,'Ex1'!$A$1:$E$1,0),0),"None")</f>
        <v>Delhi</v>
      </c>
    </row>
    <row r="9" ht="14.25" customHeight="1">
      <c r="B9" s="5">
        <v>127.0</v>
      </c>
      <c r="C9" s="5" t="str">
        <f>Iferror(vlookup($B9,'Ex1'!$A$2:$E$14,Match(C$2,'Ex1'!$A$1:$E$1,0),0),"None")</f>
        <v>Ankush</v>
      </c>
      <c r="D9" s="5">
        <f>Iferror(vlookup($B9,'Ex1'!$A$2:$E$14,Match(D$2,'Ex1'!$A$1:$E$1,0),0),"None")</f>
        <v>23</v>
      </c>
      <c r="E9" s="5">
        <f>Iferror(vlookup($B9,'Ex1'!$A$2:$E$14,Match(E$2,'Ex1'!$A$1:$E$1,0),0),"None")</f>
        <v>67</v>
      </c>
      <c r="F9" s="5" t="str">
        <f>Iferror(vlookup($B9,'Ex1'!$A$2:$E$14,Match(F$2,'Ex1'!$A$1:$E$1,0),0),"None")</f>
        <v>Mumbai</v>
      </c>
      <c r="K9" s="5" t="str">
        <f>FORMULATEXT(K3)</f>
        <v>=xlookup($J3,'Ex2'!$A$2:$A$21,'Ex2'!C$2:C$21,"None")</v>
      </c>
    </row>
    <row r="10" ht="14.25" customHeight="1">
      <c r="K10" s="5" t="str">
        <f>FORMULATEXT(M3)</f>
        <v>=xlookup($J3,'Ex2'!$A$2:$A$21,'Ex2'!F$2:F$21,"None")</v>
      </c>
    </row>
    <row r="11" ht="14.25" customHeight="1"/>
    <row r="12" ht="14.25" customHeight="1">
      <c r="B12" s="19" t="str">
        <f>FORMULATEXT(C3)</f>
        <v>=Iferror(vlookup($B3,'Ex1'!$A$2:$E$14,Match(C$2,'Ex1'!$A$1:$E$1,0),0),"None")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C1"/>
    <mergeCell ref="J1:K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1" t="s">
        <v>31</v>
      </c>
      <c r="C2" s="28">
        <v>121.0</v>
      </c>
      <c r="D2" s="28">
        <v>122.0</v>
      </c>
      <c r="E2" s="28">
        <v>123.0</v>
      </c>
      <c r="F2" s="28">
        <v>124.0</v>
      </c>
      <c r="G2" s="28">
        <v>125.0</v>
      </c>
      <c r="H2" s="28">
        <v>126.0</v>
      </c>
      <c r="I2" s="28">
        <v>127.0</v>
      </c>
      <c r="J2" s="28">
        <v>128.0</v>
      </c>
      <c r="K2" s="28">
        <v>129.0</v>
      </c>
      <c r="L2" s="28">
        <v>130.0</v>
      </c>
      <c r="M2" s="28">
        <v>131.0</v>
      </c>
      <c r="N2" s="28">
        <v>132.0</v>
      </c>
      <c r="O2" s="28">
        <v>133.0</v>
      </c>
    </row>
    <row r="3" ht="14.25" customHeight="1">
      <c r="B3" s="11" t="s">
        <v>32</v>
      </c>
      <c r="C3" s="28" t="s">
        <v>37</v>
      </c>
      <c r="D3" s="28" t="s">
        <v>40</v>
      </c>
      <c r="E3" s="28" t="s">
        <v>42</v>
      </c>
      <c r="F3" s="28" t="s">
        <v>45</v>
      </c>
      <c r="G3" s="28" t="s">
        <v>46</v>
      </c>
      <c r="H3" s="28" t="s">
        <v>48</v>
      </c>
      <c r="I3" s="28" t="s">
        <v>50</v>
      </c>
      <c r="J3" s="28" t="s">
        <v>52</v>
      </c>
      <c r="K3" s="28" t="s">
        <v>53</v>
      </c>
      <c r="L3" s="28" t="s">
        <v>57</v>
      </c>
      <c r="M3" s="28" t="s">
        <v>51</v>
      </c>
      <c r="N3" s="28" t="s">
        <v>59</v>
      </c>
      <c r="O3" s="28" t="s">
        <v>60</v>
      </c>
    </row>
    <row r="4" ht="14.25" customHeight="1">
      <c r="B4" s="11" t="s">
        <v>33</v>
      </c>
      <c r="C4" s="28">
        <v>22.0</v>
      </c>
      <c r="D4" s="28">
        <v>23.0</v>
      </c>
      <c r="E4" s="28">
        <v>24.0</v>
      </c>
      <c r="F4" s="28">
        <v>21.0</v>
      </c>
      <c r="G4" s="28">
        <v>25.0</v>
      </c>
      <c r="H4" s="28">
        <v>24.0</v>
      </c>
      <c r="I4" s="28">
        <v>23.0</v>
      </c>
      <c r="J4" s="28">
        <v>24.0</v>
      </c>
      <c r="K4" s="28">
        <v>25.0</v>
      </c>
      <c r="L4" s="28">
        <v>27.0</v>
      </c>
      <c r="M4" s="28">
        <v>28.0</v>
      </c>
      <c r="N4" s="28">
        <v>26.0</v>
      </c>
      <c r="O4" s="28">
        <v>23.0</v>
      </c>
    </row>
    <row r="5" ht="14.25" customHeight="1">
      <c r="B5" s="11" t="s">
        <v>34</v>
      </c>
      <c r="C5" s="28">
        <v>55.0</v>
      </c>
      <c r="D5" s="28">
        <v>63.0</v>
      </c>
      <c r="E5" s="28">
        <v>71.0</v>
      </c>
      <c r="F5" s="28">
        <v>68.0</v>
      </c>
      <c r="G5" s="28">
        <v>74.0</v>
      </c>
      <c r="H5" s="28">
        <v>81.0</v>
      </c>
      <c r="I5" s="28">
        <v>67.0</v>
      </c>
      <c r="J5" s="28">
        <v>80.0</v>
      </c>
      <c r="K5" s="28">
        <v>74.0</v>
      </c>
      <c r="L5" s="28">
        <v>47.0</v>
      </c>
      <c r="M5" s="28">
        <v>91.0</v>
      </c>
      <c r="N5" s="28">
        <v>81.0</v>
      </c>
      <c r="O5" s="28">
        <v>87.0</v>
      </c>
    </row>
    <row r="6" ht="14.25" customHeight="1">
      <c r="B6" s="11" t="s">
        <v>35</v>
      </c>
      <c r="C6" s="28" t="s">
        <v>38</v>
      </c>
      <c r="D6" s="28" t="s">
        <v>41</v>
      </c>
      <c r="E6" s="28" t="s">
        <v>43</v>
      </c>
      <c r="F6" s="28" t="s">
        <v>41</v>
      </c>
      <c r="G6" s="28" t="s">
        <v>47</v>
      </c>
      <c r="H6" s="28" t="s">
        <v>38</v>
      </c>
      <c r="I6" s="28" t="s">
        <v>41</v>
      </c>
      <c r="J6" s="28" t="s">
        <v>47</v>
      </c>
      <c r="K6" s="28" t="s">
        <v>43</v>
      </c>
      <c r="L6" s="28" t="s">
        <v>41</v>
      </c>
      <c r="M6" s="28" t="s">
        <v>43</v>
      </c>
      <c r="N6" s="28" t="s">
        <v>47</v>
      </c>
      <c r="O6" s="28" t="s">
        <v>38</v>
      </c>
    </row>
    <row r="7" ht="14.25" customHeight="1"/>
    <row r="8" ht="14.25" customHeight="1">
      <c r="D8" s="5" t="s">
        <v>144</v>
      </c>
      <c r="H8" s="29" t="s">
        <v>145</v>
      </c>
      <c r="I8" s="30"/>
      <c r="J8" s="30"/>
      <c r="K8" s="30"/>
      <c r="L8" s="26"/>
    </row>
    <row r="9" ht="14.25" customHeight="1">
      <c r="H9" s="31" t="s">
        <v>31</v>
      </c>
      <c r="I9" s="8">
        <v>127.0</v>
      </c>
      <c r="J9" s="8">
        <v>131.0</v>
      </c>
      <c r="K9" s="8">
        <v>122.0</v>
      </c>
      <c r="L9" s="8">
        <v>130.0</v>
      </c>
    </row>
    <row r="10" ht="14.25" customHeight="1">
      <c r="H10" s="32" t="s">
        <v>32</v>
      </c>
      <c r="I10" s="5" t="str">
        <f t="shared" ref="I10:L10" si="1">iferror(hlookup(I$9,$C$2:$O$6,Match($H10,$B$2:$B$6,0),0),"None")</f>
        <v>Ankush</v>
      </c>
      <c r="J10" s="5" t="str">
        <f t="shared" si="1"/>
        <v>Ujjwal</v>
      </c>
      <c r="K10" s="5" t="str">
        <f t="shared" si="1"/>
        <v>Ankit</v>
      </c>
      <c r="L10" s="5" t="str">
        <f t="shared" si="1"/>
        <v>Vinay</v>
      </c>
    </row>
    <row r="11" ht="14.25" customHeight="1">
      <c r="H11" s="32" t="s">
        <v>33</v>
      </c>
      <c r="I11" s="5">
        <f t="shared" ref="I11:L11" si="2">iferror(hlookup(I$9,$C$2:$O$6,Match($H11,$B$2:$B$6,0),0),"None")</f>
        <v>23</v>
      </c>
      <c r="J11" s="5">
        <f t="shared" si="2"/>
        <v>28</v>
      </c>
      <c r="K11" s="5">
        <f t="shared" si="2"/>
        <v>23</v>
      </c>
      <c r="L11" s="5">
        <f t="shared" si="2"/>
        <v>27</v>
      </c>
    </row>
    <row r="12" ht="14.25" customHeight="1">
      <c r="H12" s="32" t="s">
        <v>34</v>
      </c>
      <c r="I12" s="5">
        <f t="shared" ref="I12:L12" si="3">iferror(hlookup(I$9,$C$2:$O$6,Match($H12,$B$2:$B$6,0),0),"None")</f>
        <v>67</v>
      </c>
      <c r="J12" s="5">
        <f t="shared" si="3"/>
        <v>91</v>
      </c>
      <c r="K12" s="5">
        <f t="shared" si="3"/>
        <v>63</v>
      </c>
      <c r="L12" s="5">
        <f t="shared" si="3"/>
        <v>47</v>
      </c>
    </row>
    <row r="13" ht="14.25" customHeight="1">
      <c r="H13" s="33" t="s">
        <v>35</v>
      </c>
      <c r="I13" s="5" t="str">
        <f t="shared" ref="I13:L13" si="4">iferror(hlookup(I$9,$C$2:$O$6,Match($H13,$B$2:$B$6,0),0),"None")</f>
        <v>Mumbai</v>
      </c>
      <c r="J13" s="5" t="str">
        <f t="shared" si="4"/>
        <v>Noida</v>
      </c>
      <c r="K13" s="5" t="str">
        <f t="shared" si="4"/>
        <v>Mumbai</v>
      </c>
      <c r="L13" s="5" t="str">
        <f t="shared" si="4"/>
        <v>Mumbai</v>
      </c>
    </row>
    <row r="14" ht="14.25" customHeight="1"/>
    <row r="15" ht="14.25" customHeight="1">
      <c r="I15" s="19" t="str">
        <f>FORMULATEXT(I10)</f>
        <v>=iferror(hlookup(I$9,$C$2:$O$6,Match($H10,$B$2:$B$6,0),0),"None")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H8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2026-03-16T15:00:24Z</dcterms:created>
  <dc:creator>Utkarsh Tiwary</dc:creator>
</cp:coreProperties>
</file>