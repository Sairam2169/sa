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ing" sheetId="1" r:id="rId4"/>
    <sheet state="visible" name="Sorting" sheetId="2" r:id="rId5"/>
  </sheets>
  <definedNames>
    <definedName name="India">#REF!</definedName>
    <definedName name="USA">#REF!</definedName>
    <definedName hidden="1" localSheetId="1" name="_xlnm._FilterDatabase">Sorting!$B$1:$G$44</definedName>
  </definedNames>
  <calcPr/>
  <extLst>
    <ext uri="GoogleSheetsCustomDataVersion2">
      <go:sheetsCustomData xmlns:go="http://customooxmlschemas.google.com/" r:id="rId6" roundtripDataChecksum="nO5JeawASJ/j2q+RbPzsF6hAJb3dEMisTERU9ka0Bgc="/>
    </ext>
  </extLst>
</workbook>
</file>

<file path=xl/sharedStrings.xml><?xml version="1.0" encoding="utf-8"?>
<sst xmlns="http://schemas.openxmlformats.org/spreadsheetml/2006/main" count="465" uniqueCount="68">
  <si>
    <t>Product Name</t>
  </si>
  <si>
    <t>Price</t>
  </si>
  <si>
    <t>Qty</t>
  </si>
  <si>
    <t>Amount</t>
  </si>
  <si>
    <t>Order Date</t>
  </si>
  <si>
    <t>City</t>
  </si>
  <si>
    <t>Q1) Find all records where Price &gt; 10000</t>
  </si>
  <si>
    <t>Wireless Mouse</t>
  </si>
  <si>
    <t>Delhi</t>
  </si>
  <si>
    <t>B2:G44</t>
  </si>
  <si>
    <t>Mechanical Keyboard</t>
  </si>
  <si>
    <t>Mumbai</t>
  </si>
  <si>
    <t>Q2) Find all records where Price is greater than 500 and Qty is at least 2.</t>
  </si>
  <si>
    <t>Gaming Headset</t>
  </si>
  <si>
    <t>Pune</t>
  </si>
  <si>
    <t>USB Flash Drive 32GB</t>
  </si>
  <si>
    <t>Noida</t>
  </si>
  <si>
    <t>Q3) Retrieve all orders placed in March and belonging to Mumbai.</t>
  </si>
  <si>
    <t>Laptop Stand</t>
  </si>
  <si>
    <t>Bluetooth Speaker</t>
  </si>
  <si>
    <t>Q4) Retrieve all orders placed in Feb and Amount &gt; 3000</t>
  </si>
  <si>
    <t>Smartphone Charger</t>
  </si>
  <si>
    <t>Power Bank 10000mAh</t>
  </si>
  <si>
    <t>Q5) Find all records where Order date between 10Jan2024 and 25Jan 2024</t>
  </si>
  <si>
    <t>Smartwatch</t>
  </si>
  <si>
    <t>External Hard Drive 1TB</t>
  </si>
  <si>
    <t>Q6) Filter all records where Qty is 2 or 3</t>
  </si>
  <si>
    <t>Portable SSD 512GB</t>
  </si>
  <si>
    <t>Wireless Earbuds</t>
  </si>
  <si>
    <t>Q7) Display orders where City end with "i" (e.g., Mumbai, Delhi).</t>
  </si>
  <si>
    <t>LED Desk Lamp</t>
  </si>
  <si>
    <t>Graphics Tablet</t>
  </si>
  <si>
    <t>USB-C Hub</t>
  </si>
  <si>
    <t>Mechanical Pencil</t>
  </si>
  <si>
    <t>Noise Cancelling Headphones</t>
  </si>
  <si>
    <t>Webcam Full HD</t>
  </si>
  <si>
    <t>Smart Bulb</t>
  </si>
  <si>
    <t>Ergonomic Chair</t>
  </si>
  <si>
    <t>Monitor 24-inch</t>
  </si>
  <si>
    <t>USB Extension Cable</t>
  </si>
  <si>
    <t>Laptop Cooling Pad</t>
  </si>
  <si>
    <t>Office Desk</t>
  </si>
  <si>
    <t>HDMI Cable 2m</t>
  </si>
  <si>
    <t>Wireless Keyboard</t>
  </si>
  <si>
    <t>VR Headset</t>
  </si>
  <si>
    <t>Noise Reduction Earplugs</t>
  </si>
  <si>
    <t>Smart Thermostat</t>
  </si>
  <si>
    <t>E-Book Reader</t>
  </si>
  <si>
    <t>Smart Door Lock</t>
  </si>
  <si>
    <t>Fitness Tracker</t>
  </si>
  <si>
    <t>Car Phone Mount</t>
  </si>
  <si>
    <t>Electric Toothbrush</t>
  </si>
  <si>
    <t>Wireless Printer</t>
  </si>
  <si>
    <t>Smart Security Camera</t>
  </si>
  <si>
    <t>Digital Drawing Pad</t>
  </si>
  <si>
    <t>Wireless Charging Pad</t>
  </si>
  <si>
    <t>USB Microphone</t>
  </si>
  <si>
    <t>External DVD Drive</t>
  </si>
  <si>
    <t>Robot Vacuum Cleaner</t>
  </si>
  <si>
    <t>Air Purifier</t>
  </si>
  <si>
    <t>Noise Blocking Headphones</t>
  </si>
  <si>
    <t>filter(B2:G44, (Month(F2:F44)=2)*(E2:E44&gt;3000),"None")</t>
  </si>
  <si>
    <t xml:space="preserve">Q6) Filter all records where Qty is 2 or 3			</t>
  </si>
  <si>
    <t>Q1) Sort all records in asc order or amount</t>
  </si>
  <si>
    <t>Q2) Sort all records in dec order of price</t>
  </si>
  <si>
    <t>Q3) Sort all records in asc order of City and desc order of amount</t>
  </si>
  <si>
    <t>Q4) Sort all records from Mumbai in desc order of Amount</t>
  </si>
  <si>
    <t>Q5) Sort Only Delhi records in desc order of order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</si>
</sst>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readingOrder="0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readingOrder="0"/>
    </xf>
    <xf borderId="1" fillId="2" fontId="2" numFmtId="0" xfId="0" applyAlignment="1" applyBorder="1" applyFont="1">
      <alignment horizontal="left"/>
    </xf>
    <xf borderId="0" fillId="0" fontId="5" numFmtId="0" xfId="0" applyFont="1"/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5" width="8.71"/>
    <col customWidth="1" min="6" max="6" width="15.14"/>
    <col customWidth="1" min="7" max="10" width="8.71"/>
    <col customWidth="1" min="11" max="11" width="12.29"/>
    <col customWidth="1" min="12" max="14" width="8.71"/>
    <col customWidth="1" min="15" max="15" width="13.14"/>
    <col customWidth="1" min="16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s="2" t="s">
        <v>6</v>
      </c>
      <c r="L1" s="3"/>
      <c r="M1" s="3"/>
      <c r="N1" s="4"/>
    </row>
    <row r="2" ht="14.25" customHeight="1">
      <c r="B2" s="5" t="s">
        <v>7</v>
      </c>
      <c r="C2" s="5">
        <v>450.0</v>
      </c>
      <c r="D2" s="5">
        <v>2.0</v>
      </c>
      <c r="E2" s="5">
        <v>900.0</v>
      </c>
      <c r="F2" s="6">
        <v>45296.0</v>
      </c>
      <c r="G2" s="7" t="s">
        <v>8</v>
      </c>
      <c r="I2" s="8" t="s">
        <v>9</v>
      </c>
    </row>
    <row r="3" ht="14.25" customHeight="1">
      <c r="B3" s="5" t="s">
        <v>10</v>
      </c>
      <c r="C3" s="5">
        <v>1200.0</v>
      </c>
      <c r="D3" s="5">
        <v>1.0</v>
      </c>
      <c r="E3" s="5">
        <v>1200.0</v>
      </c>
      <c r="F3" s="6">
        <v>45332.0</v>
      </c>
      <c r="G3" s="7" t="s">
        <v>11</v>
      </c>
      <c r="K3" s="9" t="s">
        <v>12</v>
      </c>
      <c r="L3" s="3"/>
      <c r="M3" s="3"/>
      <c r="N3" s="3"/>
      <c r="O3" s="3"/>
      <c r="P3" s="3"/>
      <c r="Q3" s="4"/>
    </row>
    <row r="4" ht="14.25" customHeight="1">
      <c r="B4" s="5" t="s">
        <v>13</v>
      </c>
      <c r="C4" s="5">
        <v>1800.0</v>
      </c>
      <c r="D4" s="5">
        <v>2.0</v>
      </c>
      <c r="E4" s="5">
        <v>3600.0</v>
      </c>
      <c r="F4" s="6">
        <v>45313.0</v>
      </c>
      <c r="G4" s="7" t="s">
        <v>14</v>
      </c>
    </row>
    <row r="5" ht="14.25" customHeight="1">
      <c r="B5" s="5" t="s">
        <v>15</v>
      </c>
      <c r="C5" s="5">
        <v>600.0</v>
      </c>
      <c r="D5" s="5">
        <v>3.0</v>
      </c>
      <c r="E5" s="5">
        <v>1800.0</v>
      </c>
      <c r="F5" s="6">
        <v>45353.0</v>
      </c>
      <c r="G5" s="7" t="s">
        <v>16</v>
      </c>
      <c r="K5" s="9" t="s">
        <v>17</v>
      </c>
      <c r="L5" s="3"/>
      <c r="M5" s="3"/>
      <c r="N5" s="3"/>
      <c r="O5" s="3"/>
      <c r="P5" s="3"/>
      <c r="Q5" s="4"/>
    </row>
    <row r="6" ht="14.25" customHeight="1">
      <c r="B6" s="5" t="s">
        <v>18</v>
      </c>
      <c r="C6" s="5">
        <v>750.0</v>
      </c>
      <c r="D6" s="5">
        <v>1.0</v>
      </c>
      <c r="E6" s="5">
        <v>750.0</v>
      </c>
      <c r="F6" s="6">
        <v>45337.0</v>
      </c>
      <c r="G6" s="7" t="s">
        <v>8</v>
      </c>
    </row>
    <row r="7" ht="14.25" customHeight="1">
      <c r="B7" s="5" t="s">
        <v>19</v>
      </c>
      <c r="C7" s="5">
        <v>2000.0</v>
      </c>
      <c r="D7" s="5">
        <v>2.0</v>
      </c>
      <c r="E7" s="5">
        <v>4000.0</v>
      </c>
      <c r="F7" s="6">
        <v>45299.0</v>
      </c>
      <c r="G7" s="7" t="s">
        <v>16</v>
      </c>
      <c r="K7" s="9" t="s">
        <v>20</v>
      </c>
      <c r="L7" s="3"/>
      <c r="M7" s="3"/>
      <c r="N7" s="3"/>
      <c r="O7" s="3"/>
      <c r="P7" s="3"/>
      <c r="Q7" s="4"/>
    </row>
    <row r="8" ht="14.25" customHeight="1">
      <c r="B8" s="5" t="s">
        <v>21</v>
      </c>
      <c r="C8" s="5">
        <v>500.0</v>
      </c>
      <c r="D8" s="5">
        <v>3.0</v>
      </c>
      <c r="E8" s="5">
        <v>1500.0</v>
      </c>
      <c r="F8" s="6">
        <v>45369.0</v>
      </c>
      <c r="G8" s="7" t="s">
        <v>14</v>
      </c>
    </row>
    <row r="9" ht="14.25" customHeight="1">
      <c r="B9" s="5" t="s">
        <v>22</v>
      </c>
      <c r="C9" s="5">
        <v>1200.0</v>
      </c>
      <c r="D9" s="5">
        <v>2.0</v>
      </c>
      <c r="E9" s="5">
        <v>2400.0</v>
      </c>
      <c r="F9" s="6">
        <v>45349.0</v>
      </c>
      <c r="G9" s="7" t="s">
        <v>14</v>
      </c>
      <c r="K9" s="9" t="s">
        <v>23</v>
      </c>
      <c r="L9" s="3"/>
      <c r="M9" s="3"/>
      <c r="N9" s="3"/>
      <c r="O9" s="3"/>
      <c r="P9" s="3"/>
      <c r="Q9" s="3"/>
      <c r="R9" s="4"/>
    </row>
    <row r="10" ht="14.25" customHeight="1">
      <c r="B10" s="5" t="s">
        <v>24</v>
      </c>
      <c r="C10" s="5">
        <v>3500.0</v>
      </c>
      <c r="D10" s="5">
        <v>1.0</v>
      </c>
      <c r="E10" s="5">
        <v>3500.0</v>
      </c>
      <c r="F10" s="6">
        <v>45383.0</v>
      </c>
      <c r="G10" s="7" t="s">
        <v>11</v>
      </c>
    </row>
    <row r="11" ht="14.25" customHeight="1">
      <c r="B11" s="5" t="s">
        <v>25</v>
      </c>
      <c r="C11" s="5">
        <v>4500.0</v>
      </c>
      <c r="D11" s="5">
        <v>1.0</v>
      </c>
      <c r="E11" s="5">
        <v>4500.0</v>
      </c>
      <c r="F11" s="6">
        <v>45321.0</v>
      </c>
      <c r="G11" s="7" t="s">
        <v>8</v>
      </c>
      <c r="K11" s="9" t="s">
        <v>26</v>
      </c>
      <c r="L11" s="3"/>
      <c r="M11" s="3"/>
      <c r="N11" s="4"/>
    </row>
    <row r="12" ht="14.25" customHeight="1">
      <c r="B12" s="5" t="s">
        <v>27</v>
      </c>
      <c r="C12" s="5">
        <v>5800.0</v>
      </c>
      <c r="D12" s="5">
        <v>1.0</v>
      </c>
      <c r="E12" s="5">
        <v>5800.0</v>
      </c>
      <c r="F12" s="6">
        <v>45334.0</v>
      </c>
      <c r="G12" s="7" t="s">
        <v>16</v>
      </c>
    </row>
    <row r="13" ht="14.25" customHeight="1">
      <c r="B13" s="5" t="s">
        <v>28</v>
      </c>
      <c r="C13" s="5">
        <v>2500.0</v>
      </c>
      <c r="D13" s="5">
        <v>2.0</v>
      </c>
      <c r="E13" s="5">
        <v>5000.0</v>
      </c>
      <c r="F13" s="6">
        <v>45371.0</v>
      </c>
      <c r="G13" s="7" t="s">
        <v>16</v>
      </c>
      <c r="K13" s="9" t="s">
        <v>29</v>
      </c>
      <c r="L13" s="3"/>
      <c r="M13" s="3"/>
      <c r="N13" s="3"/>
      <c r="O13" s="3"/>
      <c r="P13" s="3"/>
      <c r="Q13" s="4"/>
    </row>
    <row r="14" ht="14.25" customHeight="1">
      <c r="B14" s="5" t="s">
        <v>30</v>
      </c>
      <c r="C14" s="5">
        <v>1200.0</v>
      </c>
      <c r="D14" s="5">
        <v>2.0</v>
      </c>
      <c r="E14" s="5">
        <v>2400.0</v>
      </c>
      <c r="F14" s="6">
        <v>45305.0</v>
      </c>
      <c r="G14" s="7" t="s">
        <v>8</v>
      </c>
    </row>
    <row r="15" ht="14.25" customHeight="1">
      <c r="B15" s="5" t="s">
        <v>31</v>
      </c>
      <c r="C15" s="5">
        <v>7200.0</v>
      </c>
      <c r="D15" s="5">
        <v>1.0</v>
      </c>
      <c r="E15" s="5">
        <v>7200.0</v>
      </c>
      <c r="F15" s="6">
        <v>45356.0</v>
      </c>
      <c r="G15" s="7" t="s">
        <v>8</v>
      </c>
    </row>
    <row r="16" ht="14.25" customHeight="1">
      <c r="B16" s="5" t="s">
        <v>32</v>
      </c>
      <c r="C16" s="5">
        <v>1500.0</v>
      </c>
      <c r="D16" s="5">
        <v>2.0</v>
      </c>
      <c r="E16" s="5">
        <v>3000.0</v>
      </c>
      <c r="F16" s="6">
        <v>45347.0</v>
      </c>
      <c r="G16" s="7" t="s">
        <v>11</v>
      </c>
    </row>
    <row r="17" ht="14.25" customHeight="1">
      <c r="B17" s="5" t="s">
        <v>33</v>
      </c>
      <c r="C17" s="5">
        <v>150.0</v>
      </c>
      <c r="D17" s="5">
        <v>5.0</v>
      </c>
      <c r="E17" s="5">
        <v>750.0</v>
      </c>
      <c r="F17" s="6">
        <v>45388.0</v>
      </c>
      <c r="G17" s="7" t="s">
        <v>14</v>
      </c>
    </row>
    <row r="18" ht="14.25" customHeight="1">
      <c r="B18" s="5" t="s">
        <v>34</v>
      </c>
      <c r="C18" s="5">
        <v>8500.0</v>
      </c>
      <c r="D18" s="5">
        <v>1.0</v>
      </c>
      <c r="E18" s="5">
        <v>8500.0</v>
      </c>
      <c r="F18" s="6">
        <v>45339.0</v>
      </c>
      <c r="G18" s="7" t="s">
        <v>11</v>
      </c>
    </row>
    <row r="19" ht="14.25" customHeight="1">
      <c r="B19" s="5" t="s">
        <v>35</v>
      </c>
      <c r="C19" s="5">
        <v>3200.0</v>
      </c>
      <c r="D19" s="5">
        <v>1.0</v>
      </c>
      <c r="E19" s="5">
        <v>3200.0</v>
      </c>
      <c r="F19" s="6">
        <v>45380.0</v>
      </c>
      <c r="G19" s="7" t="s">
        <v>11</v>
      </c>
      <c r="K19" s="2" t="s">
        <v>6</v>
      </c>
      <c r="L19" s="3"/>
      <c r="M19" s="3"/>
      <c r="N19" s="4"/>
    </row>
    <row r="20" ht="14.25" customHeight="1">
      <c r="B20" s="5" t="s">
        <v>36</v>
      </c>
      <c r="C20" s="5">
        <v>900.0</v>
      </c>
      <c r="D20" s="5">
        <v>3.0</v>
      </c>
      <c r="E20" s="5">
        <v>2700.0</v>
      </c>
      <c r="F20" s="6">
        <v>45317.0</v>
      </c>
      <c r="G20" s="7" t="s">
        <v>11</v>
      </c>
      <c r="K20" s="10" t="str">
        <f>FORMULATEXT(K21)</f>
        <v>=Filter(B2:G44,C2:C44&gt;10000)</v>
      </c>
    </row>
    <row r="21" ht="14.25" customHeight="1">
      <c r="B21" s="5" t="s">
        <v>37</v>
      </c>
      <c r="C21" s="5">
        <v>12500.0</v>
      </c>
      <c r="D21" s="5">
        <v>1.0</v>
      </c>
      <c r="E21" s="5">
        <v>12500.0</v>
      </c>
      <c r="F21" s="6">
        <v>45391.0</v>
      </c>
      <c r="G21" s="7" t="s">
        <v>11</v>
      </c>
      <c r="K21" s="7" t="str">
        <f>IFERROR(__xludf.DUMMYFUNCTION("Filter(B2:G44,C2:C44&gt;10000)"),"Ergonomic Chair")</f>
        <v>Ergonomic Chair</v>
      </c>
      <c r="L21" s="7">
        <f>IFERROR(__xludf.DUMMYFUNCTION("""COMPUTED_VALUE"""),12500.0)</f>
        <v>12500</v>
      </c>
      <c r="M21" s="7">
        <f>IFERROR(__xludf.DUMMYFUNCTION("""COMPUTED_VALUE"""),1.0)</f>
        <v>1</v>
      </c>
      <c r="N21" s="7">
        <f>IFERROR(__xludf.DUMMYFUNCTION("""COMPUTED_VALUE"""),12500.0)</f>
        <v>12500</v>
      </c>
      <c r="O21" s="11">
        <f>IFERROR(__xludf.DUMMYFUNCTION("""COMPUTED_VALUE"""),45391.0)</f>
        <v>45391</v>
      </c>
      <c r="P21" s="7" t="str">
        <f>IFERROR(__xludf.DUMMYFUNCTION("""COMPUTED_VALUE"""),"Mumbai")</f>
        <v>Mumbai</v>
      </c>
    </row>
    <row r="22" ht="14.25" customHeight="1">
      <c r="B22" s="5" t="s">
        <v>38</v>
      </c>
      <c r="C22" s="5">
        <v>9000.0</v>
      </c>
      <c r="D22" s="5">
        <v>1.0</v>
      </c>
      <c r="E22" s="5">
        <v>9000.0</v>
      </c>
      <c r="F22" s="6">
        <v>45302.0</v>
      </c>
      <c r="G22" s="7" t="s">
        <v>14</v>
      </c>
      <c r="K22" s="7" t="str">
        <f>IFERROR(__xludf.DUMMYFUNCTION("""COMPUTED_VALUE"""),"VR Headset")</f>
        <v>VR Headset</v>
      </c>
      <c r="L22" s="7">
        <f>IFERROR(__xludf.DUMMYFUNCTION("""COMPUTED_VALUE"""),16000.0)</f>
        <v>16000</v>
      </c>
      <c r="M22" s="7">
        <f>IFERROR(__xludf.DUMMYFUNCTION("""COMPUTED_VALUE"""),1.0)</f>
        <v>1</v>
      </c>
      <c r="N22" s="7">
        <f>IFERROR(__xludf.DUMMYFUNCTION("""COMPUTED_VALUE"""),16000.0)</f>
        <v>16000</v>
      </c>
      <c r="O22" s="11">
        <f>IFERROR(__xludf.DUMMYFUNCTION("""COMPUTED_VALUE"""),45350.0)</f>
        <v>45350</v>
      </c>
      <c r="P22" s="7" t="str">
        <f>IFERROR(__xludf.DUMMYFUNCTION("""COMPUTED_VALUE"""),"Delhi")</f>
        <v>Delhi</v>
      </c>
    </row>
    <row r="23" ht="14.25" customHeight="1">
      <c r="B23" s="5" t="s">
        <v>39</v>
      </c>
      <c r="C23" s="5">
        <v>300.0</v>
      </c>
      <c r="D23" s="5">
        <v>4.0</v>
      </c>
      <c r="E23" s="5">
        <v>1200.0</v>
      </c>
      <c r="F23" s="6">
        <v>45342.0</v>
      </c>
      <c r="G23" s="7" t="s">
        <v>8</v>
      </c>
      <c r="K23" s="7" t="str">
        <f>IFERROR(__xludf.DUMMYFUNCTION("""COMPUTED_VALUE"""),"E-Book Reader")</f>
        <v>E-Book Reader</v>
      </c>
      <c r="L23" s="7">
        <f>IFERROR(__xludf.DUMMYFUNCTION("""COMPUTED_VALUE"""),11000.0)</f>
        <v>11000</v>
      </c>
      <c r="M23" s="7">
        <f>IFERROR(__xludf.DUMMYFUNCTION("""COMPUTED_VALUE"""),1.0)</f>
        <v>1</v>
      </c>
      <c r="N23" s="7">
        <f>IFERROR(__xludf.DUMMYFUNCTION("""COMPUTED_VALUE"""),11000.0)</f>
        <v>11000</v>
      </c>
      <c r="O23" s="11">
        <f>IFERROR(__xludf.DUMMYFUNCTION("""COMPUTED_VALUE"""),45331.0)</f>
        <v>45331</v>
      </c>
      <c r="P23" s="7" t="str">
        <f>IFERROR(__xludf.DUMMYFUNCTION("""COMPUTED_VALUE"""),"Mumbai")</f>
        <v>Mumbai</v>
      </c>
    </row>
    <row r="24" ht="14.25" customHeight="1">
      <c r="B24" s="5" t="s">
        <v>40</v>
      </c>
      <c r="C24" s="5">
        <v>1700.0</v>
      </c>
      <c r="D24" s="5">
        <v>1.0</v>
      </c>
      <c r="E24" s="5">
        <v>1700.0</v>
      </c>
      <c r="F24" s="6">
        <v>45359.0</v>
      </c>
      <c r="G24" s="7" t="s">
        <v>14</v>
      </c>
      <c r="K24" s="7" t="str">
        <f>IFERROR(__xludf.DUMMYFUNCTION("""COMPUTED_VALUE"""),"Wireless Printer")</f>
        <v>Wireless Printer</v>
      </c>
      <c r="L24" s="7">
        <f>IFERROR(__xludf.DUMMYFUNCTION("""COMPUTED_VALUE"""),15000.0)</f>
        <v>15000</v>
      </c>
      <c r="M24" s="7">
        <f>IFERROR(__xludf.DUMMYFUNCTION("""COMPUTED_VALUE"""),1.0)</f>
        <v>1</v>
      </c>
      <c r="N24" s="7">
        <f>IFERROR(__xludf.DUMMYFUNCTION("""COMPUTED_VALUE"""),15000.0)</f>
        <v>15000</v>
      </c>
      <c r="O24" s="11">
        <f>IFERROR(__xludf.DUMMYFUNCTION("""COMPUTED_VALUE"""),45307.0)</f>
        <v>45307</v>
      </c>
      <c r="P24" s="7" t="str">
        <f>IFERROR(__xludf.DUMMYFUNCTION("""COMPUTED_VALUE"""),"Noida")</f>
        <v>Noida</v>
      </c>
    </row>
    <row r="25" ht="14.25" customHeight="1">
      <c r="B25" s="5" t="s">
        <v>41</v>
      </c>
      <c r="C25" s="5">
        <v>8000.0</v>
      </c>
      <c r="D25" s="5">
        <v>1.0</v>
      </c>
      <c r="E25" s="5">
        <v>8000.0</v>
      </c>
      <c r="F25" s="6">
        <v>45327.0</v>
      </c>
      <c r="G25" s="7" t="s">
        <v>16</v>
      </c>
      <c r="K25" s="7" t="str">
        <f>IFERROR(__xludf.DUMMYFUNCTION("""COMPUTED_VALUE"""),"Robot Vacuum Cleaner")</f>
        <v>Robot Vacuum Cleaner</v>
      </c>
      <c r="L25" s="7">
        <f>IFERROR(__xludf.DUMMYFUNCTION("""COMPUTED_VALUE"""),20000.0)</f>
        <v>20000</v>
      </c>
      <c r="M25" s="7">
        <f>IFERROR(__xludf.DUMMYFUNCTION("""COMPUTED_VALUE"""),1.0)</f>
        <v>1</v>
      </c>
      <c r="N25" s="7">
        <f>IFERROR(__xludf.DUMMYFUNCTION("""COMPUTED_VALUE"""),20000.0)</f>
        <v>20000</v>
      </c>
      <c r="O25" s="11">
        <f>IFERROR(__xludf.DUMMYFUNCTION("""COMPUTED_VALUE"""),45379.0)</f>
        <v>45379</v>
      </c>
      <c r="P25" s="7" t="str">
        <f>IFERROR(__xludf.DUMMYFUNCTION("""COMPUTED_VALUE"""),"Delhi")</f>
        <v>Delhi</v>
      </c>
    </row>
    <row r="26" ht="14.25" customHeight="1">
      <c r="B26" s="5" t="s">
        <v>42</v>
      </c>
      <c r="C26" s="5">
        <v>700.0</v>
      </c>
      <c r="D26" s="5">
        <v>2.0</v>
      </c>
      <c r="E26" s="5">
        <v>1400.0</v>
      </c>
      <c r="F26" s="6">
        <v>45312.0</v>
      </c>
      <c r="G26" s="7" t="s">
        <v>11</v>
      </c>
    </row>
    <row r="27" ht="14.25" customHeight="1">
      <c r="B27" s="5" t="s">
        <v>43</v>
      </c>
      <c r="C27" s="5">
        <v>2200.0</v>
      </c>
      <c r="D27" s="5">
        <v>2.0</v>
      </c>
      <c r="E27" s="5">
        <v>4400.0</v>
      </c>
      <c r="F27" s="6">
        <v>45365.0</v>
      </c>
      <c r="G27" s="7" t="s">
        <v>11</v>
      </c>
    </row>
    <row r="28" ht="14.25" customHeight="1">
      <c r="B28" s="5" t="s">
        <v>44</v>
      </c>
      <c r="C28" s="5">
        <v>16000.0</v>
      </c>
      <c r="D28" s="5">
        <v>1.0</v>
      </c>
      <c r="E28" s="5">
        <v>16000.0</v>
      </c>
      <c r="F28" s="6">
        <v>45350.0</v>
      </c>
      <c r="G28" s="7" t="s">
        <v>8</v>
      </c>
    </row>
    <row r="29" ht="14.25" customHeight="1">
      <c r="B29" s="5" t="s">
        <v>45</v>
      </c>
      <c r="C29" s="5">
        <v>600.0</v>
      </c>
      <c r="D29" s="5">
        <v>3.0</v>
      </c>
      <c r="E29" s="5">
        <v>1800.0</v>
      </c>
      <c r="F29" s="6">
        <v>45298.0</v>
      </c>
      <c r="G29" s="7" t="s">
        <v>14</v>
      </c>
    </row>
    <row r="30" ht="14.25" customHeight="1">
      <c r="B30" s="5" t="s">
        <v>46</v>
      </c>
      <c r="C30" s="5">
        <v>5500.0</v>
      </c>
      <c r="D30" s="5">
        <v>1.0</v>
      </c>
      <c r="E30" s="5">
        <v>5500.0</v>
      </c>
      <c r="F30" s="6">
        <v>45384.0</v>
      </c>
      <c r="G30" s="7" t="s">
        <v>11</v>
      </c>
      <c r="K30" s="9" t="s">
        <v>12</v>
      </c>
      <c r="L30" s="3"/>
      <c r="M30" s="3"/>
      <c r="N30" s="3"/>
      <c r="O30" s="3"/>
      <c r="P30" s="3"/>
      <c r="Q30" s="4"/>
    </row>
    <row r="31" ht="14.25" customHeight="1">
      <c r="B31" s="5" t="s">
        <v>47</v>
      </c>
      <c r="C31" s="5">
        <v>11000.0</v>
      </c>
      <c r="D31" s="5">
        <v>1.0</v>
      </c>
      <c r="E31" s="5">
        <v>11000.0</v>
      </c>
      <c r="F31" s="6">
        <v>45331.0</v>
      </c>
      <c r="G31" s="7" t="s">
        <v>11</v>
      </c>
      <c r="K31" s="10" t="str">
        <f>FORMULATEXT(K33)</f>
        <v>=Filter(B2:G44,C2:C44&gt;500,D2:D44&gt;=2)</v>
      </c>
    </row>
    <row r="32" ht="14.25" customHeight="1">
      <c r="B32" s="5" t="s">
        <v>48</v>
      </c>
      <c r="C32" s="5">
        <v>9000.0</v>
      </c>
      <c r="D32" s="5">
        <v>1.0</v>
      </c>
      <c r="E32" s="5">
        <v>9000.0</v>
      </c>
      <c r="F32" s="6">
        <v>45375.0</v>
      </c>
      <c r="G32" s="7" t="s">
        <v>8</v>
      </c>
    </row>
    <row r="33" ht="14.25" customHeight="1">
      <c r="B33" s="5" t="s">
        <v>49</v>
      </c>
      <c r="C33" s="5">
        <v>3200.0</v>
      </c>
      <c r="D33" s="5">
        <v>2.0</v>
      </c>
      <c r="E33" s="5">
        <v>6400.0</v>
      </c>
      <c r="F33" s="6">
        <v>45310.0</v>
      </c>
      <c r="G33" s="7" t="s">
        <v>16</v>
      </c>
      <c r="K33" s="7" t="str">
        <f>IFERROR(__xludf.DUMMYFUNCTION("Filter(B2:G44,C2:C44&gt;500,D2:D44&gt;=2)"),"Gaming Headset")</f>
        <v>Gaming Headset</v>
      </c>
      <c r="L33" s="7">
        <f>IFERROR(__xludf.DUMMYFUNCTION("""COMPUTED_VALUE"""),1800.0)</f>
        <v>1800</v>
      </c>
      <c r="M33" s="7">
        <f>IFERROR(__xludf.DUMMYFUNCTION("""COMPUTED_VALUE"""),2.0)</f>
        <v>2</v>
      </c>
      <c r="N33" s="7">
        <f>IFERROR(__xludf.DUMMYFUNCTION("""COMPUTED_VALUE"""),3600.0)</f>
        <v>3600</v>
      </c>
      <c r="O33" s="11">
        <f>IFERROR(__xludf.DUMMYFUNCTION("""COMPUTED_VALUE"""),45313.0)</f>
        <v>45313</v>
      </c>
      <c r="P33" s="7" t="str">
        <f>IFERROR(__xludf.DUMMYFUNCTION("""COMPUTED_VALUE"""),"Pune")</f>
        <v>Pune</v>
      </c>
    </row>
    <row r="34" ht="14.25" customHeight="1">
      <c r="B34" s="5" t="s">
        <v>50</v>
      </c>
      <c r="C34" s="5">
        <v>800.0</v>
      </c>
      <c r="D34" s="5">
        <v>2.0</v>
      </c>
      <c r="E34" s="5">
        <v>1600.0</v>
      </c>
      <c r="F34" s="6">
        <v>45344.0</v>
      </c>
      <c r="G34" s="7" t="s">
        <v>14</v>
      </c>
      <c r="K34" s="7" t="str">
        <f>IFERROR(__xludf.DUMMYFUNCTION("""COMPUTED_VALUE"""),"USB Flash Drive 32GB")</f>
        <v>USB Flash Drive 32GB</v>
      </c>
      <c r="L34" s="7">
        <f>IFERROR(__xludf.DUMMYFUNCTION("""COMPUTED_VALUE"""),600.0)</f>
        <v>600</v>
      </c>
      <c r="M34" s="7">
        <f>IFERROR(__xludf.DUMMYFUNCTION("""COMPUTED_VALUE"""),3.0)</f>
        <v>3</v>
      </c>
      <c r="N34" s="7">
        <f>IFERROR(__xludf.DUMMYFUNCTION("""COMPUTED_VALUE"""),1800.0)</f>
        <v>1800</v>
      </c>
      <c r="O34" s="11">
        <f>IFERROR(__xludf.DUMMYFUNCTION("""COMPUTED_VALUE"""),45353.0)</f>
        <v>45353</v>
      </c>
      <c r="P34" s="7" t="str">
        <f>IFERROR(__xludf.DUMMYFUNCTION("""COMPUTED_VALUE"""),"Noida")</f>
        <v>Noida</v>
      </c>
    </row>
    <row r="35" ht="14.25" customHeight="1">
      <c r="B35" s="5" t="s">
        <v>51</v>
      </c>
      <c r="C35" s="5">
        <v>2700.0</v>
      </c>
      <c r="D35" s="5">
        <v>1.0</v>
      </c>
      <c r="E35" s="5">
        <v>2700.0</v>
      </c>
      <c r="F35" s="6">
        <v>45354.0</v>
      </c>
      <c r="G35" s="7" t="s">
        <v>16</v>
      </c>
      <c r="K35" s="7" t="str">
        <f>IFERROR(__xludf.DUMMYFUNCTION("""COMPUTED_VALUE"""),"Bluetooth Speaker")</f>
        <v>Bluetooth Speaker</v>
      </c>
      <c r="L35" s="7">
        <f>IFERROR(__xludf.DUMMYFUNCTION("""COMPUTED_VALUE"""),2000.0)</f>
        <v>2000</v>
      </c>
      <c r="M35" s="7">
        <f>IFERROR(__xludf.DUMMYFUNCTION("""COMPUTED_VALUE"""),2.0)</f>
        <v>2</v>
      </c>
      <c r="N35" s="7">
        <f>IFERROR(__xludf.DUMMYFUNCTION("""COMPUTED_VALUE"""),4000.0)</f>
        <v>4000</v>
      </c>
      <c r="O35" s="11">
        <f>IFERROR(__xludf.DUMMYFUNCTION("""COMPUTED_VALUE"""),45299.0)</f>
        <v>45299</v>
      </c>
      <c r="P35" s="7" t="str">
        <f>IFERROR(__xludf.DUMMYFUNCTION("""COMPUTED_VALUE"""),"Noida")</f>
        <v>Noida</v>
      </c>
    </row>
    <row r="36" ht="14.25" customHeight="1">
      <c r="B36" s="5" t="s">
        <v>52</v>
      </c>
      <c r="C36" s="5">
        <v>15000.0</v>
      </c>
      <c r="D36" s="5">
        <v>1.0</v>
      </c>
      <c r="E36" s="5">
        <v>15000.0</v>
      </c>
      <c r="F36" s="6">
        <v>45307.0</v>
      </c>
      <c r="G36" s="7" t="s">
        <v>16</v>
      </c>
      <c r="K36" s="7" t="str">
        <f>IFERROR(__xludf.DUMMYFUNCTION("""COMPUTED_VALUE"""),"Power Bank 10000mAh")</f>
        <v>Power Bank 10000mAh</v>
      </c>
      <c r="L36" s="7">
        <f>IFERROR(__xludf.DUMMYFUNCTION("""COMPUTED_VALUE"""),1200.0)</f>
        <v>1200</v>
      </c>
      <c r="M36" s="7">
        <f>IFERROR(__xludf.DUMMYFUNCTION("""COMPUTED_VALUE"""),2.0)</f>
        <v>2</v>
      </c>
      <c r="N36" s="7">
        <f>IFERROR(__xludf.DUMMYFUNCTION("""COMPUTED_VALUE"""),2400.0)</f>
        <v>2400</v>
      </c>
      <c r="O36" s="11">
        <f>IFERROR(__xludf.DUMMYFUNCTION("""COMPUTED_VALUE"""),45349.0)</f>
        <v>45349</v>
      </c>
      <c r="P36" s="7" t="str">
        <f>IFERROR(__xludf.DUMMYFUNCTION("""COMPUTED_VALUE"""),"Pune")</f>
        <v>Pune</v>
      </c>
    </row>
    <row r="37" ht="14.25" customHeight="1">
      <c r="B37" s="5" t="s">
        <v>53</v>
      </c>
      <c r="C37" s="5">
        <v>8500.0</v>
      </c>
      <c r="D37" s="5">
        <v>1.0</v>
      </c>
      <c r="E37" s="5">
        <v>8500.0</v>
      </c>
      <c r="F37" s="6">
        <v>45336.0</v>
      </c>
      <c r="G37" s="7" t="s">
        <v>16</v>
      </c>
      <c r="K37" s="7" t="str">
        <f>IFERROR(__xludf.DUMMYFUNCTION("""COMPUTED_VALUE"""),"Wireless Earbuds")</f>
        <v>Wireless Earbuds</v>
      </c>
      <c r="L37" s="7">
        <f>IFERROR(__xludf.DUMMYFUNCTION("""COMPUTED_VALUE"""),2500.0)</f>
        <v>2500</v>
      </c>
      <c r="M37" s="7">
        <f>IFERROR(__xludf.DUMMYFUNCTION("""COMPUTED_VALUE"""),2.0)</f>
        <v>2</v>
      </c>
      <c r="N37" s="7">
        <f>IFERROR(__xludf.DUMMYFUNCTION("""COMPUTED_VALUE"""),5000.0)</f>
        <v>5000</v>
      </c>
      <c r="O37" s="11">
        <f>IFERROR(__xludf.DUMMYFUNCTION("""COMPUTED_VALUE"""),45371.0)</f>
        <v>45371</v>
      </c>
      <c r="P37" s="7" t="str">
        <f>IFERROR(__xludf.DUMMYFUNCTION("""COMPUTED_VALUE"""),"Noida")</f>
        <v>Noida</v>
      </c>
    </row>
    <row r="38" ht="14.25" customHeight="1">
      <c r="B38" s="5" t="s">
        <v>54</v>
      </c>
      <c r="C38" s="5">
        <v>6800.0</v>
      </c>
      <c r="D38" s="5">
        <v>1.0</v>
      </c>
      <c r="E38" s="5">
        <v>6800.0</v>
      </c>
      <c r="F38" s="6">
        <v>45361.0</v>
      </c>
      <c r="G38" s="7" t="s">
        <v>8</v>
      </c>
      <c r="K38" s="7" t="str">
        <f>IFERROR(__xludf.DUMMYFUNCTION("""COMPUTED_VALUE"""),"LED Desk Lamp")</f>
        <v>LED Desk Lamp</v>
      </c>
      <c r="L38" s="7">
        <f>IFERROR(__xludf.DUMMYFUNCTION("""COMPUTED_VALUE"""),1200.0)</f>
        <v>1200</v>
      </c>
      <c r="M38" s="7">
        <f>IFERROR(__xludf.DUMMYFUNCTION("""COMPUTED_VALUE"""),2.0)</f>
        <v>2</v>
      </c>
      <c r="N38" s="7">
        <f>IFERROR(__xludf.DUMMYFUNCTION("""COMPUTED_VALUE"""),2400.0)</f>
        <v>2400</v>
      </c>
      <c r="O38" s="11">
        <f>IFERROR(__xludf.DUMMYFUNCTION("""COMPUTED_VALUE"""),45305.0)</f>
        <v>45305</v>
      </c>
      <c r="P38" s="7" t="str">
        <f>IFERROR(__xludf.DUMMYFUNCTION("""COMPUTED_VALUE"""),"Delhi")</f>
        <v>Delhi</v>
      </c>
    </row>
    <row r="39" ht="14.25" customHeight="1">
      <c r="B39" s="5" t="s">
        <v>55</v>
      </c>
      <c r="C39" s="5">
        <v>2000.0</v>
      </c>
      <c r="D39" s="5">
        <v>2.0</v>
      </c>
      <c r="E39" s="5">
        <v>4000.0</v>
      </c>
      <c r="F39" s="6">
        <v>45320.0</v>
      </c>
      <c r="G39" s="7" t="s">
        <v>11</v>
      </c>
      <c r="K39" s="7" t="str">
        <f>IFERROR(__xludf.DUMMYFUNCTION("""COMPUTED_VALUE"""),"USB-C Hub")</f>
        <v>USB-C Hub</v>
      </c>
      <c r="L39" s="7">
        <f>IFERROR(__xludf.DUMMYFUNCTION("""COMPUTED_VALUE"""),1500.0)</f>
        <v>1500</v>
      </c>
      <c r="M39" s="7">
        <f>IFERROR(__xludf.DUMMYFUNCTION("""COMPUTED_VALUE"""),2.0)</f>
        <v>2</v>
      </c>
      <c r="N39" s="7">
        <f>IFERROR(__xludf.DUMMYFUNCTION("""COMPUTED_VALUE"""),3000.0)</f>
        <v>3000</v>
      </c>
      <c r="O39" s="11">
        <f>IFERROR(__xludf.DUMMYFUNCTION("""COMPUTED_VALUE"""),45347.0)</f>
        <v>45347</v>
      </c>
      <c r="P39" s="7" t="str">
        <f>IFERROR(__xludf.DUMMYFUNCTION("""COMPUTED_VALUE"""),"Mumbai")</f>
        <v>Mumbai</v>
      </c>
    </row>
    <row r="40" ht="14.25" customHeight="1">
      <c r="B40" s="5" t="s">
        <v>56</v>
      </c>
      <c r="C40" s="5">
        <v>5600.0</v>
      </c>
      <c r="D40" s="5">
        <v>1.0</v>
      </c>
      <c r="E40" s="5">
        <v>5600.0</v>
      </c>
      <c r="F40" s="6">
        <v>45389.0</v>
      </c>
      <c r="G40" s="7" t="s">
        <v>8</v>
      </c>
      <c r="K40" s="7" t="str">
        <f>IFERROR(__xludf.DUMMYFUNCTION("""COMPUTED_VALUE"""),"Smart Bulb")</f>
        <v>Smart Bulb</v>
      </c>
      <c r="L40" s="7">
        <f>IFERROR(__xludf.DUMMYFUNCTION("""COMPUTED_VALUE"""),900.0)</f>
        <v>900</v>
      </c>
      <c r="M40" s="7">
        <f>IFERROR(__xludf.DUMMYFUNCTION("""COMPUTED_VALUE"""),3.0)</f>
        <v>3</v>
      </c>
      <c r="N40" s="7">
        <f>IFERROR(__xludf.DUMMYFUNCTION("""COMPUTED_VALUE"""),2700.0)</f>
        <v>2700</v>
      </c>
      <c r="O40" s="11">
        <f>IFERROR(__xludf.DUMMYFUNCTION("""COMPUTED_VALUE"""),45317.0)</f>
        <v>45317</v>
      </c>
      <c r="P40" s="7" t="str">
        <f>IFERROR(__xludf.DUMMYFUNCTION("""COMPUTED_VALUE"""),"Mumbai")</f>
        <v>Mumbai</v>
      </c>
    </row>
    <row r="41" ht="14.25" customHeight="1">
      <c r="B41" s="5" t="s">
        <v>57</v>
      </c>
      <c r="C41" s="5">
        <v>3800.0</v>
      </c>
      <c r="D41" s="5">
        <v>1.0</v>
      </c>
      <c r="E41" s="5">
        <v>3800.0</v>
      </c>
      <c r="F41" s="6">
        <v>45328.0</v>
      </c>
      <c r="G41" s="7" t="s">
        <v>8</v>
      </c>
      <c r="K41" s="7" t="str">
        <f>IFERROR(__xludf.DUMMYFUNCTION("""COMPUTED_VALUE"""),"HDMI Cable 2m")</f>
        <v>HDMI Cable 2m</v>
      </c>
      <c r="L41" s="7">
        <f>IFERROR(__xludf.DUMMYFUNCTION("""COMPUTED_VALUE"""),700.0)</f>
        <v>700</v>
      </c>
      <c r="M41" s="7">
        <f>IFERROR(__xludf.DUMMYFUNCTION("""COMPUTED_VALUE"""),2.0)</f>
        <v>2</v>
      </c>
      <c r="N41" s="7">
        <f>IFERROR(__xludf.DUMMYFUNCTION("""COMPUTED_VALUE"""),1400.0)</f>
        <v>1400</v>
      </c>
      <c r="O41" s="11">
        <f>IFERROR(__xludf.DUMMYFUNCTION("""COMPUTED_VALUE"""),45312.0)</f>
        <v>45312</v>
      </c>
      <c r="P41" s="7" t="str">
        <f>IFERROR(__xludf.DUMMYFUNCTION("""COMPUTED_VALUE"""),"Mumbai")</f>
        <v>Mumbai</v>
      </c>
    </row>
    <row r="42" ht="14.25" customHeight="1">
      <c r="B42" s="5" t="s">
        <v>58</v>
      </c>
      <c r="C42" s="5">
        <v>20000.0</v>
      </c>
      <c r="D42" s="5">
        <v>1.0</v>
      </c>
      <c r="E42" s="5">
        <v>20000.0</v>
      </c>
      <c r="F42" s="6">
        <v>45379.0</v>
      </c>
      <c r="G42" s="7" t="s">
        <v>8</v>
      </c>
      <c r="K42" s="7" t="str">
        <f>IFERROR(__xludf.DUMMYFUNCTION("""COMPUTED_VALUE"""),"Wireless Keyboard")</f>
        <v>Wireless Keyboard</v>
      </c>
      <c r="L42" s="7">
        <f>IFERROR(__xludf.DUMMYFUNCTION("""COMPUTED_VALUE"""),2200.0)</f>
        <v>2200</v>
      </c>
      <c r="M42" s="7">
        <f>IFERROR(__xludf.DUMMYFUNCTION("""COMPUTED_VALUE"""),2.0)</f>
        <v>2</v>
      </c>
      <c r="N42" s="7">
        <f>IFERROR(__xludf.DUMMYFUNCTION("""COMPUTED_VALUE"""),4400.0)</f>
        <v>4400</v>
      </c>
      <c r="O42" s="11">
        <f>IFERROR(__xludf.DUMMYFUNCTION("""COMPUTED_VALUE"""),45365.0)</f>
        <v>45365</v>
      </c>
      <c r="P42" s="7" t="str">
        <f>IFERROR(__xludf.DUMMYFUNCTION("""COMPUTED_VALUE"""),"Mumbai")</f>
        <v>Mumbai</v>
      </c>
    </row>
    <row r="43" ht="14.25" customHeight="1">
      <c r="B43" s="5" t="s">
        <v>59</v>
      </c>
      <c r="C43" s="5">
        <v>7000.0</v>
      </c>
      <c r="D43" s="5">
        <v>1.0</v>
      </c>
      <c r="E43" s="5">
        <v>7000.0</v>
      </c>
      <c r="F43" s="6">
        <v>45300.0</v>
      </c>
      <c r="G43" s="7" t="s">
        <v>11</v>
      </c>
      <c r="K43" s="7" t="str">
        <f>IFERROR(__xludf.DUMMYFUNCTION("""COMPUTED_VALUE"""),"Noise Reduction Earplugs")</f>
        <v>Noise Reduction Earplugs</v>
      </c>
      <c r="L43" s="7">
        <f>IFERROR(__xludf.DUMMYFUNCTION("""COMPUTED_VALUE"""),600.0)</f>
        <v>600</v>
      </c>
      <c r="M43" s="7">
        <f>IFERROR(__xludf.DUMMYFUNCTION("""COMPUTED_VALUE"""),3.0)</f>
        <v>3</v>
      </c>
      <c r="N43" s="7">
        <f>IFERROR(__xludf.DUMMYFUNCTION("""COMPUTED_VALUE"""),1800.0)</f>
        <v>1800</v>
      </c>
      <c r="O43" s="11">
        <f>IFERROR(__xludf.DUMMYFUNCTION("""COMPUTED_VALUE"""),45298.0)</f>
        <v>45298</v>
      </c>
      <c r="P43" s="7" t="str">
        <f>IFERROR(__xludf.DUMMYFUNCTION("""COMPUTED_VALUE"""),"Pune")</f>
        <v>Pune</v>
      </c>
    </row>
    <row r="44" ht="14.25" customHeight="1">
      <c r="B44" s="5" t="s">
        <v>60</v>
      </c>
      <c r="C44" s="5">
        <v>6200.0</v>
      </c>
      <c r="D44" s="5">
        <v>1.0</v>
      </c>
      <c r="E44" s="5">
        <v>6200.0</v>
      </c>
      <c r="F44" s="6">
        <v>45368.0</v>
      </c>
      <c r="G44" s="7" t="s">
        <v>14</v>
      </c>
      <c r="K44" s="7" t="str">
        <f>IFERROR(__xludf.DUMMYFUNCTION("""COMPUTED_VALUE"""),"Fitness Tracker")</f>
        <v>Fitness Tracker</v>
      </c>
      <c r="L44" s="7">
        <f>IFERROR(__xludf.DUMMYFUNCTION("""COMPUTED_VALUE"""),3200.0)</f>
        <v>3200</v>
      </c>
      <c r="M44" s="7">
        <f>IFERROR(__xludf.DUMMYFUNCTION("""COMPUTED_VALUE"""),2.0)</f>
        <v>2</v>
      </c>
      <c r="N44" s="7">
        <f>IFERROR(__xludf.DUMMYFUNCTION("""COMPUTED_VALUE"""),6400.0)</f>
        <v>6400</v>
      </c>
      <c r="O44" s="11">
        <f>IFERROR(__xludf.DUMMYFUNCTION("""COMPUTED_VALUE"""),45310.0)</f>
        <v>45310</v>
      </c>
      <c r="P44" s="7" t="str">
        <f>IFERROR(__xludf.DUMMYFUNCTION("""COMPUTED_VALUE"""),"Noida")</f>
        <v>Noida</v>
      </c>
    </row>
    <row r="45" ht="14.25" customHeight="1">
      <c r="K45" s="7" t="str">
        <f>IFERROR(__xludf.DUMMYFUNCTION("""COMPUTED_VALUE"""),"Car Phone Mount")</f>
        <v>Car Phone Mount</v>
      </c>
      <c r="L45" s="7">
        <f>IFERROR(__xludf.DUMMYFUNCTION("""COMPUTED_VALUE"""),800.0)</f>
        <v>800</v>
      </c>
      <c r="M45" s="7">
        <f>IFERROR(__xludf.DUMMYFUNCTION("""COMPUTED_VALUE"""),2.0)</f>
        <v>2</v>
      </c>
      <c r="N45" s="7">
        <f>IFERROR(__xludf.DUMMYFUNCTION("""COMPUTED_VALUE"""),1600.0)</f>
        <v>1600</v>
      </c>
      <c r="O45" s="11">
        <f>IFERROR(__xludf.DUMMYFUNCTION("""COMPUTED_VALUE"""),45344.0)</f>
        <v>45344</v>
      </c>
      <c r="P45" s="7" t="str">
        <f>IFERROR(__xludf.DUMMYFUNCTION("""COMPUTED_VALUE"""),"Pune")</f>
        <v>Pune</v>
      </c>
    </row>
    <row r="46" ht="14.25" customHeight="1">
      <c r="K46" s="7" t="str">
        <f>IFERROR(__xludf.DUMMYFUNCTION("""COMPUTED_VALUE"""),"Wireless Charging Pad")</f>
        <v>Wireless Charging Pad</v>
      </c>
      <c r="L46" s="7">
        <f>IFERROR(__xludf.DUMMYFUNCTION("""COMPUTED_VALUE"""),2000.0)</f>
        <v>2000</v>
      </c>
      <c r="M46" s="7">
        <f>IFERROR(__xludf.DUMMYFUNCTION("""COMPUTED_VALUE"""),2.0)</f>
        <v>2</v>
      </c>
      <c r="N46" s="7">
        <f>IFERROR(__xludf.DUMMYFUNCTION("""COMPUTED_VALUE"""),4000.0)</f>
        <v>4000</v>
      </c>
      <c r="O46" s="11">
        <f>IFERROR(__xludf.DUMMYFUNCTION("""COMPUTED_VALUE"""),45320.0)</f>
        <v>45320</v>
      </c>
      <c r="P46" s="7" t="str">
        <f>IFERROR(__xludf.DUMMYFUNCTION("""COMPUTED_VALUE"""),"Mumbai")</f>
        <v>Mumbai</v>
      </c>
    </row>
    <row r="47" ht="14.25" customHeight="1"/>
    <row r="48" ht="14.25" customHeight="1"/>
    <row r="49" ht="14.25" customHeight="1"/>
    <row r="50" ht="14.25" customHeight="1">
      <c r="K50" s="9" t="s">
        <v>17</v>
      </c>
      <c r="L50" s="3"/>
      <c r="M50" s="3"/>
      <c r="N50" s="3"/>
      <c r="O50" s="3"/>
      <c r="P50" s="3"/>
      <c r="Q50" s="4"/>
    </row>
    <row r="51" ht="14.25" customHeight="1">
      <c r="K51" s="10" t="str">
        <f>FORMULATEXT(K53)</f>
        <v>=Filter(B2:G44, G2:G44="Mumbai",Month(F2:F44)=3)</v>
      </c>
    </row>
    <row r="52" ht="14.25" customHeight="1"/>
    <row r="53" ht="14.25" customHeight="1">
      <c r="K53" s="8" t="str">
        <f>IFERROR(__xludf.DUMMYFUNCTION("Filter(B2:G44, G2:G44=""Mumbai"",Month(F2:F44)=3)"),"Webcam Full HD")</f>
        <v>Webcam Full HD</v>
      </c>
      <c r="L53" s="7">
        <f>IFERROR(__xludf.DUMMYFUNCTION("""COMPUTED_VALUE"""),3200.0)</f>
        <v>3200</v>
      </c>
      <c r="M53" s="7">
        <f>IFERROR(__xludf.DUMMYFUNCTION("""COMPUTED_VALUE"""),1.0)</f>
        <v>1</v>
      </c>
      <c r="N53" s="7">
        <f>IFERROR(__xludf.DUMMYFUNCTION("""COMPUTED_VALUE"""),3200.0)</f>
        <v>3200</v>
      </c>
      <c r="O53" s="11">
        <f>IFERROR(__xludf.DUMMYFUNCTION("""COMPUTED_VALUE"""),45380.0)</f>
        <v>45380</v>
      </c>
      <c r="P53" s="7" t="str">
        <f>IFERROR(__xludf.DUMMYFUNCTION("""COMPUTED_VALUE"""),"Mumbai")</f>
        <v>Mumbai</v>
      </c>
    </row>
    <row r="54" ht="14.25" customHeight="1">
      <c r="K54" s="7" t="str">
        <f>IFERROR(__xludf.DUMMYFUNCTION("""COMPUTED_VALUE"""),"Wireless Keyboard")</f>
        <v>Wireless Keyboard</v>
      </c>
      <c r="L54" s="7">
        <f>IFERROR(__xludf.DUMMYFUNCTION("""COMPUTED_VALUE"""),2200.0)</f>
        <v>2200</v>
      </c>
      <c r="M54" s="7">
        <f>IFERROR(__xludf.DUMMYFUNCTION("""COMPUTED_VALUE"""),2.0)</f>
        <v>2</v>
      </c>
      <c r="N54" s="7">
        <f>IFERROR(__xludf.DUMMYFUNCTION("""COMPUTED_VALUE"""),4400.0)</f>
        <v>4400</v>
      </c>
      <c r="O54" s="11">
        <f>IFERROR(__xludf.DUMMYFUNCTION("""COMPUTED_VALUE"""),45365.0)</f>
        <v>45365</v>
      </c>
      <c r="P54" s="7" t="str">
        <f>IFERROR(__xludf.DUMMYFUNCTION("""COMPUTED_VALUE"""),"Mumbai")</f>
        <v>Mumbai</v>
      </c>
    </row>
    <row r="55" ht="14.25" customHeight="1"/>
    <row r="56" ht="14.25" customHeight="1"/>
    <row r="57" ht="14.25" customHeight="1">
      <c r="K57" s="8" t="s">
        <v>61</v>
      </c>
    </row>
    <row r="58" ht="14.25" customHeight="1">
      <c r="K58" s="9" t="s">
        <v>20</v>
      </c>
      <c r="L58" s="3"/>
      <c r="M58" s="3"/>
      <c r="N58" s="3"/>
      <c r="O58" s="3"/>
      <c r="P58" s="3"/>
      <c r="Q58" s="4"/>
    </row>
    <row r="59" ht="14.25" customHeight="1">
      <c r="K59" s="10" t="str">
        <f>FORMULATEXT(K61)</f>
        <v>=Filter(B2:G44, Month(F2:F44)=2,E2:E44&gt;3000)</v>
      </c>
    </row>
    <row r="60" ht="14.25" customHeight="1"/>
    <row r="61" ht="14.25" customHeight="1">
      <c r="K61" s="7" t="str">
        <f>IFERROR(__xludf.DUMMYFUNCTION("Filter(B2:G44, Month(F2:F44)=2,E2:E44&gt;3000)"),"Portable SSD 512GB")</f>
        <v>Portable SSD 512GB</v>
      </c>
      <c r="L61" s="7">
        <f>IFERROR(__xludf.DUMMYFUNCTION("""COMPUTED_VALUE"""),5800.0)</f>
        <v>5800</v>
      </c>
      <c r="M61" s="7">
        <f>IFERROR(__xludf.DUMMYFUNCTION("""COMPUTED_VALUE"""),1.0)</f>
        <v>1</v>
      </c>
      <c r="N61" s="7">
        <f>IFERROR(__xludf.DUMMYFUNCTION("""COMPUTED_VALUE"""),5800.0)</f>
        <v>5800</v>
      </c>
      <c r="O61" s="11">
        <f>IFERROR(__xludf.DUMMYFUNCTION("""COMPUTED_VALUE"""),45334.0)</f>
        <v>45334</v>
      </c>
      <c r="P61" s="7" t="str">
        <f>IFERROR(__xludf.DUMMYFUNCTION("""COMPUTED_VALUE"""),"Noida")</f>
        <v>Noida</v>
      </c>
    </row>
    <row r="62" ht="14.25" customHeight="1">
      <c r="K62" s="7" t="str">
        <f>IFERROR(__xludf.DUMMYFUNCTION("""COMPUTED_VALUE"""),"Noise Cancelling Headphones")</f>
        <v>Noise Cancelling Headphones</v>
      </c>
      <c r="L62" s="7">
        <f>IFERROR(__xludf.DUMMYFUNCTION("""COMPUTED_VALUE"""),8500.0)</f>
        <v>8500</v>
      </c>
      <c r="M62" s="7">
        <f>IFERROR(__xludf.DUMMYFUNCTION("""COMPUTED_VALUE"""),1.0)</f>
        <v>1</v>
      </c>
      <c r="N62" s="7">
        <f>IFERROR(__xludf.DUMMYFUNCTION("""COMPUTED_VALUE"""),8500.0)</f>
        <v>8500</v>
      </c>
      <c r="O62" s="11">
        <f>IFERROR(__xludf.DUMMYFUNCTION("""COMPUTED_VALUE"""),45339.0)</f>
        <v>45339</v>
      </c>
      <c r="P62" s="7" t="str">
        <f>IFERROR(__xludf.DUMMYFUNCTION("""COMPUTED_VALUE"""),"Mumbai")</f>
        <v>Mumbai</v>
      </c>
    </row>
    <row r="63" ht="14.25" customHeight="1">
      <c r="K63" s="7" t="str">
        <f>IFERROR(__xludf.DUMMYFUNCTION("""COMPUTED_VALUE"""),"Office Desk")</f>
        <v>Office Desk</v>
      </c>
      <c r="L63" s="7">
        <f>IFERROR(__xludf.DUMMYFUNCTION("""COMPUTED_VALUE"""),8000.0)</f>
        <v>8000</v>
      </c>
      <c r="M63" s="7">
        <f>IFERROR(__xludf.DUMMYFUNCTION("""COMPUTED_VALUE"""),1.0)</f>
        <v>1</v>
      </c>
      <c r="N63" s="7">
        <f>IFERROR(__xludf.DUMMYFUNCTION("""COMPUTED_VALUE"""),8000.0)</f>
        <v>8000</v>
      </c>
      <c r="O63" s="11">
        <f>IFERROR(__xludf.DUMMYFUNCTION("""COMPUTED_VALUE"""),45327.0)</f>
        <v>45327</v>
      </c>
      <c r="P63" s="7" t="str">
        <f>IFERROR(__xludf.DUMMYFUNCTION("""COMPUTED_VALUE"""),"Noida")</f>
        <v>Noida</v>
      </c>
    </row>
    <row r="64" ht="14.25" customHeight="1">
      <c r="K64" s="7" t="str">
        <f>IFERROR(__xludf.DUMMYFUNCTION("""COMPUTED_VALUE"""),"VR Headset")</f>
        <v>VR Headset</v>
      </c>
      <c r="L64" s="7">
        <f>IFERROR(__xludf.DUMMYFUNCTION("""COMPUTED_VALUE"""),16000.0)</f>
        <v>16000</v>
      </c>
      <c r="M64" s="7">
        <f>IFERROR(__xludf.DUMMYFUNCTION("""COMPUTED_VALUE"""),1.0)</f>
        <v>1</v>
      </c>
      <c r="N64" s="7">
        <f>IFERROR(__xludf.DUMMYFUNCTION("""COMPUTED_VALUE"""),16000.0)</f>
        <v>16000</v>
      </c>
      <c r="O64" s="11">
        <f>IFERROR(__xludf.DUMMYFUNCTION("""COMPUTED_VALUE"""),45350.0)</f>
        <v>45350</v>
      </c>
      <c r="P64" s="7" t="str">
        <f>IFERROR(__xludf.DUMMYFUNCTION("""COMPUTED_VALUE"""),"Delhi")</f>
        <v>Delhi</v>
      </c>
    </row>
    <row r="65" ht="14.25" customHeight="1">
      <c r="K65" s="7" t="str">
        <f>IFERROR(__xludf.DUMMYFUNCTION("""COMPUTED_VALUE"""),"E-Book Reader")</f>
        <v>E-Book Reader</v>
      </c>
      <c r="L65" s="7">
        <f>IFERROR(__xludf.DUMMYFUNCTION("""COMPUTED_VALUE"""),11000.0)</f>
        <v>11000</v>
      </c>
      <c r="M65" s="7">
        <f>IFERROR(__xludf.DUMMYFUNCTION("""COMPUTED_VALUE"""),1.0)</f>
        <v>1</v>
      </c>
      <c r="N65" s="7">
        <f>IFERROR(__xludf.DUMMYFUNCTION("""COMPUTED_VALUE"""),11000.0)</f>
        <v>11000</v>
      </c>
      <c r="O65" s="11">
        <f>IFERROR(__xludf.DUMMYFUNCTION("""COMPUTED_VALUE"""),45331.0)</f>
        <v>45331</v>
      </c>
      <c r="P65" s="7" t="str">
        <f>IFERROR(__xludf.DUMMYFUNCTION("""COMPUTED_VALUE"""),"Mumbai")</f>
        <v>Mumbai</v>
      </c>
    </row>
    <row r="66" ht="14.25" customHeight="1">
      <c r="K66" s="7" t="str">
        <f>IFERROR(__xludf.DUMMYFUNCTION("""COMPUTED_VALUE"""),"Smart Security Camera")</f>
        <v>Smart Security Camera</v>
      </c>
      <c r="L66" s="7">
        <f>IFERROR(__xludf.DUMMYFUNCTION("""COMPUTED_VALUE"""),8500.0)</f>
        <v>8500</v>
      </c>
      <c r="M66" s="7">
        <f>IFERROR(__xludf.DUMMYFUNCTION("""COMPUTED_VALUE"""),1.0)</f>
        <v>1</v>
      </c>
      <c r="N66" s="7">
        <f>IFERROR(__xludf.DUMMYFUNCTION("""COMPUTED_VALUE"""),8500.0)</f>
        <v>8500</v>
      </c>
      <c r="O66" s="11">
        <f>IFERROR(__xludf.DUMMYFUNCTION("""COMPUTED_VALUE"""),45336.0)</f>
        <v>45336</v>
      </c>
      <c r="P66" s="7" t="str">
        <f>IFERROR(__xludf.DUMMYFUNCTION("""COMPUTED_VALUE"""),"Noida")</f>
        <v>Noida</v>
      </c>
    </row>
    <row r="67" ht="14.25" customHeight="1">
      <c r="K67" s="7" t="str">
        <f>IFERROR(__xludf.DUMMYFUNCTION("""COMPUTED_VALUE"""),"External DVD Drive")</f>
        <v>External DVD Drive</v>
      </c>
      <c r="L67" s="7">
        <f>IFERROR(__xludf.DUMMYFUNCTION("""COMPUTED_VALUE"""),3800.0)</f>
        <v>3800</v>
      </c>
      <c r="M67" s="7">
        <f>IFERROR(__xludf.DUMMYFUNCTION("""COMPUTED_VALUE"""),1.0)</f>
        <v>1</v>
      </c>
      <c r="N67" s="7">
        <f>IFERROR(__xludf.DUMMYFUNCTION("""COMPUTED_VALUE"""),3800.0)</f>
        <v>3800</v>
      </c>
      <c r="O67" s="11">
        <f>IFERROR(__xludf.DUMMYFUNCTION("""COMPUTED_VALUE"""),45328.0)</f>
        <v>45328</v>
      </c>
      <c r="P67" s="7" t="str">
        <f>IFERROR(__xludf.DUMMYFUNCTION("""COMPUTED_VALUE"""),"Delhi")</f>
        <v>Delhi</v>
      </c>
    </row>
    <row r="68" ht="14.25" customHeight="1"/>
    <row r="69" ht="14.25" customHeight="1"/>
    <row r="70" ht="14.25" customHeight="1"/>
    <row r="71" ht="14.25" customHeight="1">
      <c r="K71" s="9" t="s">
        <v>23</v>
      </c>
      <c r="L71" s="3"/>
      <c r="M71" s="3"/>
      <c r="N71" s="3"/>
      <c r="O71" s="3"/>
      <c r="P71" s="3"/>
      <c r="Q71" s="3"/>
      <c r="R71" s="4"/>
    </row>
    <row r="72" ht="14.25" customHeight="1">
      <c r="K72" s="10" t="str">
        <f>FORMULATEXT(K74)</f>
        <v>=Filter(B2:G44, (F2:F44)&gt;=Date(2024,1,10), (F2:F44)&lt;=Date(2024,1,25))</v>
      </c>
    </row>
    <row r="73" ht="14.25" customHeight="1"/>
    <row r="74" ht="14.25" customHeight="1">
      <c r="K74" s="7" t="str">
        <f>IFERROR(__xludf.DUMMYFUNCTION("Filter(B2:G44, (F2:F44)&gt;=Date(2024,1,10), (F2:F44)&lt;=Date(2024,1,25))"),"Gaming Headset")</f>
        <v>Gaming Headset</v>
      </c>
      <c r="L74" s="7">
        <f>IFERROR(__xludf.DUMMYFUNCTION("""COMPUTED_VALUE"""),1800.0)</f>
        <v>1800</v>
      </c>
      <c r="M74" s="7">
        <f>IFERROR(__xludf.DUMMYFUNCTION("""COMPUTED_VALUE"""),2.0)</f>
        <v>2</v>
      </c>
      <c r="N74" s="7">
        <f>IFERROR(__xludf.DUMMYFUNCTION("""COMPUTED_VALUE"""),3600.0)</f>
        <v>3600</v>
      </c>
      <c r="O74" s="11">
        <f>IFERROR(__xludf.DUMMYFUNCTION("""COMPUTED_VALUE"""),45313.0)</f>
        <v>45313</v>
      </c>
      <c r="P74" s="7" t="str">
        <f>IFERROR(__xludf.DUMMYFUNCTION("""COMPUTED_VALUE"""),"Pune")</f>
        <v>Pune</v>
      </c>
    </row>
    <row r="75" ht="14.25" customHeight="1">
      <c r="K75" s="7" t="str">
        <f>IFERROR(__xludf.DUMMYFUNCTION("""COMPUTED_VALUE"""),"LED Desk Lamp")</f>
        <v>LED Desk Lamp</v>
      </c>
      <c r="L75" s="7">
        <f>IFERROR(__xludf.DUMMYFUNCTION("""COMPUTED_VALUE"""),1200.0)</f>
        <v>1200</v>
      </c>
      <c r="M75" s="7">
        <f>IFERROR(__xludf.DUMMYFUNCTION("""COMPUTED_VALUE"""),2.0)</f>
        <v>2</v>
      </c>
      <c r="N75" s="7">
        <f>IFERROR(__xludf.DUMMYFUNCTION("""COMPUTED_VALUE"""),2400.0)</f>
        <v>2400</v>
      </c>
      <c r="O75" s="11">
        <f>IFERROR(__xludf.DUMMYFUNCTION("""COMPUTED_VALUE"""),45305.0)</f>
        <v>45305</v>
      </c>
      <c r="P75" s="7" t="str">
        <f>IFERROR(__xludf.DUMMYFUNCTION("""COMPUTED_VALUE"""),"Delhi")</f>
        <v>Delhi</v>
      </c>
    </row>
    <row r="76" ht="14.25" customHeight="1">
      <c r="K76" s="7" t="str">
        <f>IFERROR(__xludf.DUMMYFUNCTION("""COMPUTED_VALUE"""),"Monitor 24-inch")</f>
        <v>Monitor 24-inch</v>
      </c>
      <c r="L76" s="7">
        <f>IFERROR(__xludf.DUMMYFUNCTION("""COMPUTED_VALUE"""),9000.0)</f>
        <v>9000</v>
      </c>
      <c r="M76" s="7">
        <f>IFERROR(__xludf.DUMMYFUNCTION("""COMPUTED_VALUE"""),1.0)</f>
        <v>1</v>
      </c>
      <c r="N76" s="7">
        <f>IFERROR(__xludf.DUMMYFUNCTION("""COMPUTED_VALUE"""),9000.0)</f>
        <v>9000</v>
      </c>
      <c r="O76" s="11">
        <f>IFERROR(__xludf.DUMMYFUNCTION("""COMPUTED_VALUE"""),45302.0)</f>
        <v>45302</v>
      </c>
      <c r="P76" s="7" t="str">
        <f>IFERROR(__xludf.DUMMYFUNCTION("""COMPUTED_VALUE"""),"Pune")</f>
        <v>Pune</v>
      </c>
    </row>
    <row r="77" ht="14.25" customHeight="1">
      <c r="K77" s="7" t="str">
        <f>IFERROR(__xludf.DUMMYFUNCTION("""COMPUTED_VALUE"""),"HDMI Cable 2m")</f>
        <v>HDMI Cable 2m</v>
      </c>
      <c r="L77" s="7">
        <f>IFERROR(__xludf.DUMMYFUNCTION("""COMPUTED_VALUE"""),700.0)</f>
        <v>700</v>
      </c>
      <c r="M77" s="7">
        <f>IFERROR(__xludf.DUMMYFUNCTION("""COMPUTED_VALUE"""),2.0)</f>
        <v>2</v>
      </c>
      <c r="N77" s="7">
        <f>IFERROR(__xludf.DUMMYFUNCTION("""COMPUTED_VALUE"""),1400.0)</f>
        <v>1400</v>
      </c>
      <c r="O77" s="11">
        <f>IFERROR(__xludf.DUMMYFUNCTION("""COMPUTED_VALUE"""),45312.0)</f>
        <v>45312</v>
      </c>
      <c r="P77" s="7" t="str">
        <f>IFERROR(__xludf.DUMMYFUNCTION("""COMPUTED_VALUE"""),"Mumbai")</f>
        <v>Mumbai</v>
      </c>
    </row>
    <row r="78" ht="14.25" customHeight="1">
      <c r="K78" s="7" t="str">
        <f>IFERROR(__xludf.DUMMYFUNCTION("""COMPUTED_VALUE"""),"Fitness Tracker")</f>
        <v>Fitness Tracker</v>
      </c>
      <c r="L78" s="7">
        <f>IFERROR(__xludf.DUMMYFUNCTION("""COMPUTED_VALUE"""),3200.0)</f>
        <v>3200</v>
      </c>
      <c r="M78" s="7">
        <f>IFERROR(__xludf.DUMMYFUNCTION("""COMPUTED_VALUE"""),2.0)</f>
        <v>2</v>
      </c>
      <c r="N78" s="7">
        <f>IFERROR(__xludf.DUMMYFUNCTION("""COMPUTED_VALUE"""),6400.0)</f>
        <v>6400</v>
      </c>
      <c r="O78" s="11">
        <f>IFERROR(__xludf.DUMMYFUNCTION("""COMPUTED_VALUE"""),45310.0)</f>
        <v>45310</v>
      </c>
      <c r="P78" s="7" t="str">
        <f>IFERROR(__xludf.DUMMYFUNCTION("""COMPUTED_VALUE"""),"Noida")</f>
        <v>Noida</v>
      </c>
    </row>
    <row r="79" ht="14.25" customHeight="1">
      <c r="K79" s="7" t="str">
        <f>IFERROR(__xludf.DUMMYFUNCTION("""COMPUTED_VALUE"""),"Wireless Printer")</f>
        <v>Wireless Printer</v>
      </c>
      <c r="L79" s="7">
        <f>IFERROR(__xludf.DUMMYFUNCTION("""COMPUTED_VALUE"""),15000.0)</f>
        <v>15000</v>
      </c>
      <c r="M79" s="7">
        <f>IFERROR(__xludf.DUMMYFUNCTION("""COMPUTED_VALUE"""),1.0)</f>
        <v>1</v>
      </c>
      <c r="N79" s="7">
        <f>IFERROR(__xludf.DUMMYFUNCTION("""COMPUTED_VALUE"""),15000.0)</f>
        <v>15000</v>
      </c>
      <c r="O79" s="11">
        <f>IFERROR(__xludf.DUMMYFUNCTION("""COMPUTED_VALUE"""),45307.0)</f>
        <v>45307</v>
      </c>
      <c r="P79" s="7" t="str">
        <f>IFERROR(__xludf.DUMMYFUNCTION("""COMPUTED_VALUE"""),"Noida")</f>
        <v>Noida</v>
      </c>
    </row>
    <row r="80" ht="14.25" customHeight="1"/>
    <row r="81" ht="14.25" customHeight="1"/>
    <row r="82" ht="14.25" customHeight="1"/>
    <row r="83" ht="14.25" customHeight="1">
      <c r="K83" s="12" t="s">
        <v>62</v>
      </c>
    </row>
    <row r="84" ht="14.25" customHeight="1">
      <c r="K84" s="10" t="str">
        <f>FORMULATEXT(K86)</f>
        <v>=filter(B2:G44,D2:D44&gt;=2,D2:D44&lt;=3)</v>
      </c>
      <c r="P84" s="10" t="str">
        <f>FORMULATEXT(S86)</f>
        <v>=filter(B2:G44,((D2:D44)=2) + (D2:D44=3))</v>
      </c>
    </row>
    <row r="85" ht="14.25" customHeight="1"/>
    <row r="86" ht="14.25" customHeight="1">
      <c r="K86" s="7" t="str">
        <f>IFERROR(__xludf.DUMMYFUNCTION("filter(B2:G44,D2:D44&gt;=2,D2:D44&lt;=3)"),"Wireless Mouse")</f>
        <v>Wireless Mouse</v>
      </c>
      <c r="L86" s="7">
        <f>IFERROR(__xludf.DUMMYFUNCTION("""COMPUTED_VALUE"""),450.0)</f>
        <v>450</v>
      </c>
      <c r="M86" s="7">
        <f>IFERROR(__xludf.DUMMYFUNCTION("""COMPUTED_VALUE"""),2.0)</f>
        <v>2</v>
      </c>
      <c r="N86" s="7">
        <f>IFERROR(__xludf.DUMMYFUNCTION("""COMPUTED_VALUE"""),900.0)</f>
        <v>900</v>
      </c>
      <c r="O86" s="11">
        <f>IFERROR(__xludf.DUMMYFUNCTION("""COMPUTED_VALUE"""),45296.0)</f>
        <v>45296</v>
      </c>
      <c r="P86" s="7" t="str">
        <f>IFERROR(__xludf.DUMMYFUNCTION("""COMPUTED_VALUE"""),"Delhi")</f>
        <v>Delhi</v>
      </c>
      <c r="S86" s="7" t="str">
        <f>IFERROR(__xludf.DUMMYFUNCTION("filter(B2:G44,((D2:D44)=2) + (D2:D44=3))"),"Wireless Mouse")</f>
        <v>Wireless Mouse</v>
      </c>
      <c r="T86" s="7">
        <f>IFERROR(__xludf.DUMMYFUNCTION("""COMPUTED_VALUE"""),450.0)</f>
        <v>450</v>
      </c>
      <c r="U86" s="7">
        <f>IFERROR(__xludf.DUMMYFUNCTION("""COMPUTED_VALUE"""),2.0)</f>
        <v>2</v>
      </c>
      <c r="V86" s="7">
        <f>IFERROR(__xludf.DUMMYFUNCTION("""COMPUTED_VALUE"""),900.0)</f>
        <v>900</v>
      </c>
      <c r="W86" s="11">
        <f>IFERROR(__xludf.DUMMYFUNCTION("""COMPUTED_VALUE"""),45296.0)</f>
        <v>45296</v>
      </c>
      <c r="X86" s="7" t="str">
        <f>IFERROR(__xludf.DUMMYFUNCTION("""COMPUTED_VALUE"""),"Delhi")</f>
        <v>Delhi</v>
      </c>
    </row>
    <row r="87" ht="14.25" customHeight="1">
      <c r="K87" s="7" t="str">
        <f>IFERROR(__xludf.DUMMYFUNCTION("""COMPUTED_VALUE"""),"Gaming Headset")</f>
        <v>Gaming Headset</v>
      </c>
      <c r="L87" s="7">
        <f>IFERROR(__xludf.DUMMYFUNCTION("""COMPUTED_VALUE"""),1800.0)</f>
        <v>1800</v>
      </c>
      <c r="M87" s="7">
        <f>IFERROR(__xludf.DUMMYFUNCTION("""COMPUTED_VALUE"""),2.0)</f>
        <v>2</v>
      </c>
      <c r="N87" s="7">
        <f>IFERROR(__xludf.DUMMYFUNCTION("""COMPUTED_VALUE"""),3600.0)</f>
        <v>3600</v>
      </c>
      <c r="O87" s="11">
        <f>IFERROR(__xludf.DUMMYFUNCTION("""COMPUTED_VALUE"""),45313.0)</f>
        <v>45313</v>
      </c>
      <c r="P87" s="7" t="str">
        <f>IFERROR(__xludf.DUMMYFUNCTION("""COMPUTED_VALUE"""),"Pune")</f>
        <v>Pune</v>
      </c>
      <c r="S87" s="7" t="str">
        <f>IFERROR(__xludf.DUMMYFUNCTION("""COMPUTED_VALUE"""),"Gaming Headset")</f>
        <v>Gaming Headset</v>
      </c>
      <c r="T87" s="7">
        <f>IFERROR(__xludf.DUMMYFUNCTION("""COMPUTED_VALUE"""),1800.0)</f>
        <v>1800</v>
      </c>
      <c r="U87" s="7">
        <f>IFERROR(__xludf.DUMMYFUNCTION("""COMPUTED_VALUE"""),2.0)</f>
        <v>2</v>
      </c>
      <c r="V87" s="7">
        <f>IFERROR(__xludf.DUMMYFUNCTION("""COMPUTED_VALUE"""),3600.0)</f>
        <v>3600</v>
      </c>
      <c r="W87" s="11">
        <f>IFERROR(__xludf.DUMMYFUNCTION("""COMPUTED_VALUE"""),45313.0)</f>
        <v>45313</v>
      </c>
      <c r="X87" s="7" t="str">
        <f>IFERROR(__xludf.DUMMYFUNCTION("""COMPUTED_VALUE"""),"Pune")</f>
        <v>Pune</v>
      </c>
    </row>
    <row r="88" ht="14.25" customHeight="1">
      <c r="K88" s="7" t="str">
        <f>IFERROR(__xludf.DUMMYFUNCTION("""COMPUTED_VALUE"""),"USB Flash Drive 32GB")</f>
        <v>USB Flash Drive 32GB</v>
      </c>
      <c r="L88" s="7">
        <f>IFERROR(__xludf.DUMMYFUNCTION("""COMPUTED_VALUE"""),600.0)</f>
        <v>600</v>
      </c>
      <c r="M88" s="7">
        <f>IFERROR(__xludf.DUMMYFUNCTION("""COMPUTED_VALUE"""),3.0)</f>
        <v>3</v>
      </c>
      <c r="N88" s="7">
        <f>IFERROR(__xludf.DUMMYFUNCTION("""COMPUTED_VALUE"""),1800.0)</f>
        <v>1800</v>
      </c>
      <c r="O88" s="11">
        <f>IFERROR(__xludf.DUMMYFUNCTION("""COMPUTED_VALUE"""),45353.0)</f>
        <v>45353</v>
      </c>
      <c r="P88" s="7" t="str">
        <f>IFERROR(__xludf.DUMMYFUNCTION("""COMPUTED_VALUE"""),"Noida")</f>
        <v>Noida</v>
      </c>
      <c r="S88" s="7" t="str">
        <f>IFERROR(__xludf.DUMMYFUNCTION("""COMPUTED_VALUE"""),"USB Flash Drive 32GB")</f>
        <v>USB Flash Drive 32GB</v>
      </c>
      <c r="T88" s="7">
        <f>IFERROR(__xludf.DUMMYFUNCTION("""COMPUTED_VALUE"""),600.0)</f>
        <v>600</v>
      </c>
      <c r="U88" s="7">
        <f>IFERROR(__xludf.DUMMYFUNCTION("""COMPUTED_VALUE"""),3.0)</f>
        <v>3</v>
      </c>
      <c r="V88" s="7">
        <f>IFERROR(__xludf.DUMMYFUNCTION("""COMPUTED_VALUE"""),1800.0)</f>
        <v>1800</v>
      </c>
      <c r="W88" s="11">
        <f>IFERROR(__xludf.DUMMYFUNCTION("""COMPUTED_VALUE"""),45353.0)</f>
        <v>45353</v>
      </c>
      <c r="X88" s="7" t="str">
        <f>IFERROR(__xludf.DUMMYFUNCTION("""COMPUTED_VALUE"""),"Noida")</f>
        <v>Noida</v>
      </c>
    </row>
    <row r="89" ht="14.25" customHeight="1">
      <c r="K89" s="7" t="str">
        <f>IFERROR(__xludf.DUMMYFUNCTION("""COMPUTED_VALUE"""),"Bluetooth Speaker")</f>
        <v>Bluetooth Speaker</v>
      </c>
      <c r="L89" s="7">
        <f>IFERROR(__xludf.DUMMYFUNCTION("""COMPUTED_VALUE"""),2000.0)</f>
        <v>2000</v>
      </c>
      <c r="M89" s="7">
        <f>IFERROR(__xludf.DUMMYFUNCTION("""COMPUTED_VALUE"""),2.0)</f>
        <v>2</v>
      </c>
      <c r="N89" s="7">
        <f>IFERROR(__xludf.DUMMYFUNCTION("""COMPUTED_VALUE"""),4000.0)</f>
        <v>4000</v>
      </c>
      <c r="O89" s="11">
        <f>IFERROR(__xludf.DUMMYFUNCTION("""COMPUTED_VALUE"""),45299.0)</f>
        <v>45299</v>
      </c>
      <c r="P89" s="7" t="str">
        <f>IFERROR(__xludf.DUMMYFUNCTION("""COMPUTED_VALUE"""),"Noida")</f>
        <v>Noida</v>
      </c>
      <c r="S89" s="7" t="str">
        <f>IFERROR(__xludf.DUMMYFUNCTION("""COMPUTED_VALUE"""),"Bluetooth Speaker")</f>
        <v>Bluetooth Speaker</v>
      </c>
      <c r="T89" s="7">
        <f>IFERROR(__xludf.DUMMYFUNCTION("""COMPUTED_VALUE"""),2000.0)</f>
        <v>2000</v>
      </c>
      <c r="U89" s="7">
        <f>IFERROR(__xludf.DUMMYFUNCTION("""COMPUTED_VALUE"""),2.0)</f>
        <v>2</v>
      </c>
      <c r="V89" s="7">
        <f>IFERROR(__xludf.DUMMYFUNCTION("""COMPUTED_VALUE"""),4000.0)</f>
        <v>4000</v>
      </c>
      <c r="W89" s="11">
        <f>IFERROR(__xludf.DUMMYFUNCTION("""COMPUTED_VALUE"""),45299.0)</f>
        <v>45299</v>
      </c>
      <c r="X89" s="7" t="str">
        <f>IFERROR(__xludf.DUMMYFUNCTION("""COMPUTED_VALUE"""),"Noida")</f>
        <v>Noida</v>
      </c>
    </row>
    <row r="90" ht="14.25" customHeight="1">
      <c r="K90" s="7" t="str">
        <f>IFERROR(__xludf.DUMMYFUNCTION("""COMPUTED_VALUE"""),"Smartphone Charger")</f>
        <v>Smartphone Charger</v>
      </c>
      <c r="L90" s="7">
        <f>IFERROR(__xludf.DUMMYFUNCTION("""COMPUTED_VALUE"""),500.0)</f>
        <v>500</v>
      </c>
      <c r="M90" s="7">
        <f>IFERROR(__xludf.DUMMYFUNCTION("""COMPUTED_VALUE"""),3.0)</f>
        <v>3</v>
      </c>
      <c r="N90" s="7">
        <f>IFERROR(__xludf.DUMMYFUNCTION("""COMPUTED_VALUE"""),1500.0)</f>
        <v>1500</v>
      </c>
      <c r="O90" s="11">
        <f>IFERROR(__xludf.DUMMYFUNCTION("""COMPUTED_VALUE"""),45369.0)</f>
        <v>45369</v>
      </c>
      <c r="P90" s="7" t="str">
        <f>IFERROR(__xludf.DUMMYFUNCTION("""COMPUTED_VALUE"""),"Pune")</f>
        <v>Pune</v>
      </c>
      <c r="S90" s="7" t="str">
        <f>IFERROR(__xludf.DUMMYFUNCTION("""COMPUTED_VALUE"""),"Smartphone Charger")</f>
        <v>Smartphone Charger</v>
      </c>
      <c r="T90" s="7">
        <f>IFERROR(__xludf.DUMMYFUNCTION("""COMPUTED_VALUE"""),500.0)</f>
        <v>500</v>
      </c>
      <c r="U90" s="7">
        <f>IFERROR(__xludf.DUMMYFUNCTION("""COMPUTED_VALUE"""),3.0)</f>
        <v>3</v>
      </c>
      <c r="V90" s="7">
        <f>IFERROR(__xludf.DUMMYFUNCTION("""COMPUTED_VALUE"""),1500.0)</f>
        <v>1500</v>
      </c>
      <c r="W90" s="11">
        <f>IFERROR(__xludf.DUMMYFUNCTION("""COMPUTED_VALUE"""),45369.0)</f>
        <v>45369</v>
      </c>
      <c r="X90" s="7" t="str">
        <f>IFERROR(__xludf.DUMMYFUNCTION("""COMPUTED_VALUE"""),"Pune")</f>
        <v>Pune</v>
      </c>
    </row>
    <row r="91" ht="14.25" customHeight="1">
      <c r="K91" s="7" t="str">
        <f>IFERROR(__xludf.DUMMYFUNCTION("""COMPUTED_VALUE"""),"Power Bank 10000mAh")</f>
        <v>Power Bank 10000mAh</v>
      </c>
      <c r="L91" s="7">
        <f>IFERROR(__xludf.DUMMYFUNCTION("""COMPUTED_VALUE"""),1200.0)</f>
        <v>1200</v>
      </c>
      <c r="M91" s="7">
        <f>IFERROR(__xludf.DUMMYFUNCTION("""COMPUTED_VALUE"""),2.0)</f>
        <v>2</v>
      </c>
      <c r="N91" s="7">
        <f>IFERROR(__xludf.DUMMYFUNCTION("""COMPUTED_VALUE"""),2400.0)</f>
        <v>2400</v>
      </c>
      <c r="O91" s="11">
        <f>IFERROR(__xludf.DUMMYFUNCTION("""COMPUTED_VALUE"""),45349.0)</f>
        <v>45349</v>
      </c>
      <c r="P91" s="7" t="str">
        <f>IFERROR(__xludf.DUMMYFUNCTION("""COMPUTED_VALUE"""),"Pune")</f>
        <v>Pune</v>
      </c>
      <c r="S91" s="7" t="str">
        <f>IFERROR(__xludf.DUMMYFUNCTION("""COMPUTED_VALUE"""),"Power Bank 10000mAh")</f>
        <v>Power Bank 10000mAh</v>
      </c>
      <c r="T91" s="7">
        <f>IFERROR(__xludf.DUMMYFUNCTION("""COMPUTED_VALUE"""),1200.0)</f>
        <v>1200</v>
      </c>
      <c r="U91" s="7">
        <f>IFERROR(__xludf.DUMMYFUNCTION("""COMPUTED_VALUE"""),2.0)</f>
        <v>2</v>
      </c>
      <c r="V91" s="7">
        <f>IFERROR(__xludf.DUMMYFUNCTION("""COMPUTED_VALUE"""),2400.0)</f>
        <v>2400</v>
      </c>
      <c r="W91" s="11">
        <f>IFERROR(__xludf.DUMMYFUNCTION("""COMPUTED_VALUE"""),45349.0)</f>
        <v>45349</v>
      </c>
      <c r="X91" s="7" t="str">
        <f>IFERROR(__xludf.DUMMYFUNCTION("""COMPUTED_VALUE"""),"Pune")</f>
        <v>Pune</v>
      </c>
    </row>
    <row r="92" ht="14.25" customHeight="1">
      <c r="K92" s="7" t="str">
        <f>IFERROR(__xludf.DUMMYFUNCTION("""COMPUTED_VALUE"""),"Wireless Earbuds")</f>
        <v>Wireless Earbuds</v>
      </c>
      <c r="L92" s="7">
        <f>IFERROR(__xludf.DUMMYFUNCTION("""COMPUTED_VALUE"""),2500.0)</f>
        <v>2500</v>
      </c>
      <c r="M92" s="7">
        <f>IFERROR(__xludf.DUMMYFUNCTION("""COMPUTED_VALUE"""),2.0)</f>
        <v>2</v>
      </c>
      <c r="N92" s="7">
        <f>IFERROR(__xludf.DUMMYFUNCTION("""COMPUTED_VALUE"""),5000.0)</f>
        <v>5000</v>
      </c>
      <c r="O92" s="11">
        <f>IFERROR(__xludf.DUMMYFUNCTION("""COMPUTED_VALUE"""),45371.0)</f>
        <v>45371</v>
      </c>
      <c r="P92" s="7" t="str">
        <f>IFERROR(__xludf.DUMMYFUNCTION("""COMPUTED_VALUE"""),"Noida")</f>
        <v>Noida</v>
      </c>
      <c r="S92" s="7" t="str">
        <f>IFERROR(__xludf.DUMMYFUNCTION("""COMPUTED_VALUE"""),"Wireless Earbuds")</f>
        <v>Wireless Earbuds</v>
      </c>
      <c r="T92" s="7">
        <f>IFERROR(__xludf.DUMMYFUNCTION("""COMPUTED_VALUE"""),2500.0)</f>
        <v>2500</v>
      </c>
      <c r="U92" s="7">
        <f>IFERROR(__xludf.DUMMYFUNCTION("""COMPUTED_VALUE"""),2.0)</f>
        <v>2</v>
      </c>
      <c r="V92" s="7">
        <f>IFERROR(__xludf.DUMMYFUNCTION("""COMPUTED_VALUE"""),5000.0)</f>
        <v>5000</v>
      </c>
      <c r="W92" s="11">
        <f>IFERROR(__xludf.DUMMYFUNCTION("""COMPUTED_VALUE"""),45371.0)</f>
        <v>45371</v>
      </c>
      <c r="X92" s="7" t="str">
        <f>IFERROR(__xludf.DUMMYFUNCTION("""COMPUTED_VALUE"""),"Noida")</f>
        <v>Noida</v>
      </c>
    </row>
    <row r="93" ht="14.25" customHeight="1">
      <c r="K93" s="7" t="str">
        <f>IFERROR(__xludf.DUMMYFUNCTION("""COMPUTED_VALUE"""),"LED Desk Lamp")</f>
        <v>LED Desk Lamp</v>
      </c>
      <c r="L93" s="7">
        <f>IFERROR(__xludf.DUMMYFUNCTION("""COMPUTED_VALUE"""),1200.0)</f>
        <v>1200</v>
      </c>
      <c r="M93" s="7">
        <f>IFERROR(__xludf.DUMMYFUNCTION("""COMPUTED_VALUE"""),2.0)</f>
        <v>2</v>
      </c>
      <c r="N93" s="7">
        <f>IFERROR(__xludf.DUMMYFUNCTION("""COMPUTED_VALUE"""),2400.0)</f>
        <v>2400</v>
      </c>
      <c r="O93" s="11">
        <f>IFERROR(__xludf.DUMMYFUNCTION("""COMPUTED_VALUE"""),45305.0)</f>
        <v>45305</v>
      </c>
      <c r="P93" s="7" t="str">
        <f>IFERROR(__xludf.DUMMYFUNCTION("""COMPUTED_VALUE"""),"Delhi")</f>
        <v>Delhi</v>
      </c>
      <c r="S93" s="7" t="str">
        <f>IFERROR(__xludf.DUMMYFUNCTION("""COMPUTED_VALUE"""),"LED Desk Lamp")</f>
        <v>LED Desk Lamp</v>
      </c>
      <c r="T93" s="7">
        <f>IFERROR(__xludf.DUMMYFUNCTION("""COMPUTED_VALUE"""),1200.0)</f>
        <v>1200</v>
      </c>
      <c r="U93" s="7">
        <f>IFERROR(__xludf.DUMMYFUNCTION("""COMPUTED_VALUE"""),2.0)</f>
        <v>2</v>
      </c>
      <c r="V93" s="7">
        <f>IFERROR(__xludf.DUMMYFUNCTION("""COMPUTED_VALUE"""),2400.0)</f>
        <v>2400</v>
      </c>
      <c r="W93" s="11">
        <f>IFERROR(__xludf.DUMMYFUNCTION("""COMPUTED_VALUE"""),45305.0)</f>
        <v>45305</v>
      </c>
      <c r="X93" s="7" t="str">
        <f>IFERROR(__xludf.DUMMYFUNCTION("""COMPUTED_VALUE"""),"Delhi")</f>
        <v>Delhi</v>
      </c>
    </row>
    <row r="94" ht="14.25" customHeight="1">
      <c r="K94" s="7" t="str">
        <f>IFERROR(__xludf.DUMMYFUNCTION("""COMPUTED_VALUE"""),"USB-C Hub")</f>
        <v>USB-C Hub</v>
      </c>
      <c r="L94" s="7">
        <f>IFERROR(__xludf.DUMMYFUNCTION("""COMPUTED_VALUE"""),1500.0)</f>
        <v>1500</v>
      </c>
      <c r="M94" s="7">
        <f>IFERROR(__xludf.DUMMYFUNCTION("""COMPUTED_VALUE"""),2.0)</f>
        <v>2</v>
      </c>
      <c r="N94" s="7">
        <f>IFERROR(__xludf.DUMMYFUNCTION("""COMPUTED_VALUE"""),3000.0)</f>
        <v>3000</v>
      </c>
      <c r="O94" s="11">
        <f>IFERROR(__xludf.DUMMYFUNCTION("""COMPUTED_VALUE"""),45347.0)</f>
        <v>45347</v>
      </c>
      <c r="P94" s="7" t="str">
        <f>IFERROR(__xludf.DUMMYFUNCTION("""COMPUTED_VALUE"""),"Mumbai")</f>
        <v>Mumbai</v>
      </c>
      <c r="S94" s="7" t="str">
        <f>IFERROR(__xludf.DUMMYFUNCTION("""COMPUTED_VALUE"""),"USB-C Hub")</f>
        <v>USB-C Hub</v>
      </c>
      <c r="T94" s="7">
        <f>IFERROR(__xludf.DUMMYFUNCTION("""COMPUTED_VALUE"""),1500.0)</f>
        <v>1500</v>
      </c>
      <c r="U94" s="7">
        <f>IFERROR(__xludf.DUMMYFUNCTION("""COMPUTED_VALUE"""),2.0)</f>
        <v>2</v>
      </c>
      <c r="V94" s="7">
        <f>IFERROR(__xludf.DUMMYFUNCTION("""COMPUTED_VALUE"""),3000.0)</f>
        <v>3000</v>
      </c>
      <c r="W94" s="11">
        <f>IFERROR(__xludf.DUMMYFUNCTION("""COMPUTED_VALUE"""),45347.0)</f>
        <v>45347</v>
      </c>
      <c r="X94" s="7" t="str">
        <f>IFERROR(__xludf.DUMMYFUNCTION("""COMPUTED_VALUE"""),"Mumbai")</f>
        <v>Mumbai</v>
      </c>
    </row>
    <row r="95" ht="14.25" customHeight="1">
      <c r="K95" s="7" t="str">
        <f>IFERROR(__xludf.DUMMYFUNCTION("""COMPUTED_VALUE"""),"Smart Bulb")</f>
        <v>Smart Bulb</v>
      </c>
      <c r="L95" s="7">
        <f>IFERROR(__xludf.DUMMYFUNCTION("""COMPUTED_VALUE"""),900.0)</f>
        <v>900</v>
      </c>
      <c r="M95" s="7">
        <f>IFERROR(__xludf.DUMMYFUNCTION("""COMPUTED_VALUE"""),3.0)</f>
        <v>3</v>
      </c>
      <c r="N95" s="7">
        <f>IFERROR(__xludf.DUMMYFUNCTION("""COMPUTED_VALUE"""),2700.0)</f>
        <v>2700</v>
      </c>
      <c r="O95" s="11">
        <f>IFERROR(__xludf.DUMMYFUNCTION("""COMPUTED_VALUE"""),45317.0)</f>
        <v>45317</v>
      </c>
      <c r="P95" s="7" t="str">
        <f>IFERROR(__xludf.DUMMYFUNCTION("""COMPUTED_VALUE"""),"Mumbai")</f>
        <v>Mumbai</v>
      </c>
      <c r="S95" s="7" t="str">
        <f>IFERROR(__xludf.DUMMYFUNCTION("""COMPUTED_VALUE"""),"Smart Bulb")</f>
        <v>Smart Bulb</v>
      </c>
      <c r="T95" s="7">
        <f>IFERROR(__xludf.DUMMYFUNCTION("""COMPUTED_VALUE"""),900.0)</f>
        <v>900</v>
      </c>
      <c r="U95" s="7">
        <f>IFERROR(__xludf.DUMMYFUNCTION("""COMPUTED_VALUE"""),3.0)</f>
        <v>3</v>
      </c>
      <c r="V95" s="7">
        <f>IFERROR(__xludf.DUMMYFUNCTION("""COMPUTED_VALUE"""),2700.0)</f>
        <v>2700</v>
      </c>
      <c r="W95" s="11">
        <f>IFERROR(__xludf.DUMMYFUNCTION("""COMPUTED_VALUE"""),45317.0)</f>
        <v>45317</v>
      </c>
      <c r="X95" s="7" t="str">
        <f>IFERROR(__xludf.DUMMYFUNCTION("""COMPUTED_VALUE"""),"Mumbai")</f>
        <v>Mumbai</v>
      </c>
    </row>
    <row r="96" ht="14.25" customHeight="1">
      <c r="K96" s="7" t="str">
        <f>IFERROR(__xludf.DUMMYFUNCTION("""COMPUTED_VALUE"""),"HDMI Cable 2m")</f>
        <v>HDMI Cable 2m</v>
      </c>
      <c r="L96" s="7">
        <f>IFERROR(__xludf.DUMMYFUNCTION("""COMPUTED_VALUE"""),700.0)</f>
        <v>700</v>
      </c>
      <c r="M96" s="7">
        <f>IFERROR(__xludf.DUMMYFUNCTION("""COMPUTED_VALUE"""),2.0)</f>
        <v>2</v>
      </c>
      <c r="N96" s="7">
        <f>IFERROR(__xludf.DUMMYFUNCTION("""COMPUTED_VALUE"""),1400.0)</f>
        <v>1400</v>
      </c>
      <c r="O96" s="11">
        <f>IFERROR(__xludf.DUMMYFUNCTION("""COMPUTED_VALUE"""),45312.0)</f>
        <v>45312</v>
      </c>
      <c r="P96" s="7" t="str">
        <f>IFERROR(__xludf.DUMMYFUNCTION("""COMPUTED_VALUE"""),"Mumbai")</f>
        <v>Mumbai</v>
      </c>
      <c r="S96" s="7" t="str">
        <f>IFERROR(__xludf.DUMMYFUNCTION("""COMPUTED_VALUE"""),"HDMI Cable 2m")</f>
        <v>HDMI Cable 2m</v>
      </c>
      <c r="T96" s="7">
        <f>IFERROR(__xludf.DUMMYFUNCTION("""COMPUTED_VALUE"""),700.0)</f>
        <v>700</v>
      </c>
      <c r="U96" s="7">
        <f>IFERROR(__xludf.DUMMYFUNCTION("""COMPUTED_VALUE"""),2.0)</f>
        <v>2</v>
      </c>
      <c r="V96" s="7">
        <f>IFERROR(__xludf.DUMMYFUNCTION("""COMPUTED_VALUE"""),1400.0)</f>
        <v>1400</v>
      </c>
      <c r="W96" s="11">
        <f>IFERROR(__xludf.DUMMYFUNCTION("""COMPUTED_VALUE"""),45312.0)</f>
        <v>45312</v>
      </c>
      <c r="X96" s="7" t="str">
        <f>IFERROR(__xludf.DUMMYFUNCTION("""COMPUTED_VALUE"""),"Mumbai")</f>
        <v>Mumbai</v>
      </c>
    </row>
    <row r="97" ht="14.25" customHeight="1">
      <c r="K97" s="7" t="str">
        <f>IFERROR(__xludf.DUMMYFUNCTION("""COMPUTED_VALUE"""),"Wireless Keyboard")</f>
        <v>Wireless Keyboard</v>
      </c>
      <c r="L97" s="7">
        <f>IFERROR(__xludf.DUMMYFUNCTION("""COMPUTED_VALUE"""),2200.0)</f>
        <v>2200</v>
      </c>
      <c r="M97" s="7">
        <f>IFERROR(__xludf.DUMMYFUNCTION("""COMPUTED_VALUE"""),2.0)</f>
        <v>2</v>
      </c>
      <c r="N97" s="7">
        <f>IFERROR(__xludf.DUMMYFUNCTION("""COMPUTED_VALUE"""),4400.0)</f>
        <v>4400</v>
      </c>
      <c r="O97" s="11">
        <f>IFERROR(__xludf.DUMMYFUNCTION("""COMPUTED_VALUE"""),45365.0)</f>
        <v>45365</v>
      </c>
      <c r="P97" s="7" t="str">
        <f>IFERROR(__xludf.DUMMYFUNCTION("""COMPUTED_VALUE"""),"Mumbai")</f>
        <v>Mumbai</v>
      </c>
      <c r="S97" s="7" t="str">
        <f>IFERROR(__xludf.DUMMYFUNCTION("""COMPUTED_VALUE"""),"Wireless Keyboard")</f>
        <v>Wireless Keyboard</v>
      </c>
      <c r="T97" s="7">
        <f>IFERROR(__xludf.DUMMYFUNCTION("""COMPUTED_VALUE"""),2200.0)</f>
        <v>2200</v>
      </c>
      <c r="U97" s="7">
        <f>IFERROR(__xludf.DUMMYFUNCTION("""COMPUTED_VALUE"""),2.0)</f>
        <v>2</v>
      </c>
      <c r="V97" s="7">
        <f>IFERROR(__xludf.DUMMYFUNCTION("""COMPUTED_VALUE"""),4400.0)</f>
        <v>4400</v>
      </c>
      <c r="W97" s="11">
        <f>IFERROR(__xludf.DUMMYFUNCTION("""COMPUTED_VALUE"""),45365.0)</f>
        <v>45365</v>
      </c>
      <c r="X97" s="7" t="str">
        <f>IFERROR(__xludf.DUMMYFUNCTION("""COMPUTED_VALUE"""),"Mumbai")</f>
        <v>Mumbai</v>
      </c>
    </row>
    <row r="98" ht="14.25" customHeight="1">
      <c r="K98" s="7" t="str">
        <f>IFERROR(__xludf.DUMMYFUNCTION("""COMPUTED_VALUE"""),"Noise Reduction Earplugs")</f>
        <v>Noise Reduction Earplugs</v>
      </c>
      <c r="L98" s="7">
        <f>IFERROR(__xludf.DUMMYFUNCTION("""COMPUTED_VALUE"""),600.0)</f>
        <v>600</v>
      </c>
      <c r="M98" s="7">
        <f>IFERROR(__xludf.DUMMYFUNCTION("""COMPUTED_VALUE"""),3.0)</f>
        <v>3</v>
      </c>
      <c r="N98" s="7">
        <f>IFERROR(__xludf.DUMMYFUNCTION("""COMPUTED_VALUE"""),1800.0)</f>
        <v>1800</v>
      </c>
      <c r="O98" s="11">
        <f>IFERROR(__xludf.DUMMYFUNCTION("""COMPUTED_VALUE"""),45298.0)</f>
        <v>45298</v>
      </c>
      <c r="P98" s="7" t="str">
        <f>IFERROR(__xludf.DUMMYFUNCTION("""COMPUTED_VALUE"""),"Pune")</f>
        <v>Pune</v>
      </c>
      <c r="S98" s="7" t="str">
        <f>IFERROR(__xludf.DUMMYFUNCTION("""COMPUTED_VALUE"""),"Noise Reduction Earplugs")</f>
        <v>Noise Reduction Earplugs</v>
      </c>
      <c r="T98" s="7">
        <f>IFERROR(__xludf.DUMMYFUNCTION("""COMPUTED_VALUE"""),600.0)</f>
        <v>600</v>
      </c>
      <c r="U98" s="7">
        <f>IFERROR(__xludf.DUMMYFUNCTION("""COMPUTED_VALUE"""),3.0)</f>
        <v>3</v>
      </c>
      <c r="V98" s="7">
        <f>IFERROR(__xludf.DUMMYFUNCTION("""COMPUTED_VALUE"""),1800.0)</f>
        <v>1800</v>
      </c>
      <c r="W98" s="11">
        <f>IFERROR(__xludf.DUMMYFUNCTION("""COMPUTED_VALUE"""),45298.0)</f>
        <v>45298</v>
      </c>
      <c r="X98" s="7" t="str">
        <f>IFERROR(__xludf.DUMMYFUNCTION("""COMPUTED_VALUE"""),"Pune")</f>
        <v>Pune</v>
      </c>
    </row>
    <row r="99" ht="14.25" customHeight="1">
      <c r="K99" s="7" t="str">
        <f>IFERROR(__xludf.DUMMYFUNCTION("""COMPUTED_VALUE"""),"Fitness Tracker")</f>
        <v>Fitness Tracker</v>
      </c>
      <c r="L99" s="7">
        <f>IFERROR(__xludf.DUMMYFUNCTION("""COMPUTED_VALUE"""),3200.0)</f>
        <v>3200</v>
      </c>
      <c r="M99" s="7">
        <f>IFERROR(__xludf.DUMMYFUNCTION("""COMPUTED_VALUE"""),2.0)</f>
        <v>2</v>
      </c>
      <c r="N99" s="7">
        <f>IFERROR(__xludf.DUMMYFUNCTION("""COMPUTED_VALUE"""),6400.0)</f>
        <v>6400</v>
      </c>
      <c r="O99" s="11">
        <f>IFERROR(__xludf.DUMMYFUNCTION("""COMPUTED_VALUE"""),45310.0)</f>
        <v>45310</v>
      </c>
      <c r="P99" s="7" t="str">
        <f>IFERROR(__xludf.DUMMYFUNCTION("""COMPUTED_VALUE"""),"Noida")</f>
        <v>Noida</v>
      </c>
      <c r="S99" s="7" t="str">
        <f>IFERROR(__xludf.DUMMYFUNCTION("""COMPUTED_VALUE"""),"Fitness Tracker")</f>
        <v>Fitness Tracker</v>
      </c>
      <c r="T99" s="7">
        <f>IFERROR(__xludf.DUMMYFUNCTION("""COMPUTED_VALUE"""),3200.0)</f>
        <v>3200</v>
      </c>
      <c r="U99" s="7">
        <f>IFERROR(__xludf.DUMMYFUNCTION("""COMPUTED_VALUE"""),2.0)</f>
        <v>2</v>
      </c>
      <c r="V99" s="7">
        <f>IFERROR(__xludf.DUMMYFUNCTION("""COMPUTED_VALUE"""),6400.0)</f>
        <v>6400</v>
      </c>
      <c r="W99" s="11">
        <f>IFERROR(__xludf.DUMMYFUNCTION("""COMPUTED_VALUE"""),45310.0)</f>
        <v>45310</v>
      </c>
      <c r="X99" s="7" t="str">
        <f>IFERROR(__xludf.DUMMYFUNCTION("""COMPUTED_VALUE"""),"Noida")</f>
        <v>Noida</v>
      </c>
    </row>
    <row r="100" ht="14.25" customHeight="1">
      <c r="K100" s="7" t="str">
        <f>IFERROR(__xludf.DUMMYFUNCTION("""COMPUTED_VALUE"""),"Car Phone Mount")</f>
        <v>Car Phone Mount</v>
      </c>
      <c r="L100" s="7">
        <f>IFERROR(__xludf.DUMMYFUNCTION("""COMPUTED_VALUE"""),800.0)</f>
        <v>800</v>
      </c>
      <c r="M100" s="7">
        <f>IFERROR(__xludf.DUMMYFUNCTION("""COMPUTED_VALUE"""),2.0)</f>
        <v>2</v>
      </c>
      <c r="N100" s="7">
        <f>IFERROR(__xludf.DUMMYFUNCTION("""COMPUTED_VALUE"""),1600.0)</f>
        <v>1600</v>
      </c>
      <c r="O100" s="11">
        <f>IFERROR(__xludf.DUMMYFUNCTION("""COMPUTED_VALUE"""),45344.0)</f>
        <v>45344</v>
      </c>
      <c r="P100" s="7" t="str">
        <f>IFERROR(__xludf.DUMMYFUNCTION("""COMPUTED_VALUE"""),"Pune")</f>
        <v>Pune</v>
      </c>
      <c r="S100" s="7" t="str">
        <f>IFERROR(__xludf.DUMMYFUNCTION("""COMPUTED_VALUE"""),"Car Phone Mount")</f>
        <v>Car Phone Mount</v>
      </c>
      <c r="T100" s="7">
        <f>IFERROR(__xludf.DUMMYFUNCTION("""COMPUTED_VALUE"""),800.0)</f>
        <v>800</v>
      </c>
      <c r="U100" s="7">
        <f>IFERROR(__xludf.DUMMYFUNCTION("""COMPUTED_VALUE"""),2.0)</f>
        <v>2</v>
      </c>
      <c r="V100" s="7">
        <f>IFERROR(__xludf.DUMMYFUNCTION("""COMPUTED_VALUE"""),1600.0)</f>
        <v>1600</v>
      </c>
      <c r="W100" s="11">
        <f>IFERROR(__xludf.DUMMYFUNCTION("""COMPUTED_VALUE"""),45344.0)</f>
        <v>45344</v>
      </c>
      <c r="X100" s="7" t="str">
        <f>IFERROR(__xludf.DUMMYFUNCTION("""COMPUTED_VALUE"""),"Pune")</f>
        <v>Pune</v>
      </c>
    </row>
    <row r="101" ht="14.25" customHeight="1">
      <c r="K101" s="7" t="str">
        <f>IFERROR(__xludf.DUMMYFUNCTION("""COMPUTED_VALUE"""),"Wireless Charging Pad")</f>
        <v>Wireless Charging Pad</v>
      </c>
      <c r="L101" s="7">
        <f>IFERROR(__xludf.DUMMYFUNCTION("""COMPUTED_VALUE"""),2000.0)</f>
        <v>2000</v>
      </c>
      <c r="M101" s="7">
        <f>IFERROR(__xludf.DUMMYFUNCTION("""COMPUTED_VALUE"""),2.0)</f>
        <v>2</v>
      </c>
      <c r="N101" s="7">
        <f>IFERROR(__xludf.DUMMYFUNCTION("""COMPUTED_VALUE"""),4000.0)</f>
        <v>4000</v>
      </c>
      <c r="O101" s="11">
        <f>IFERROR(__xludf.DUMMYFUNCTION("""COMPUTED_VALUE"""),45320.0)</f>
        <v>45320</v>
      </c>
      <c r="P101" s="7" t="str">
        <f>IFERROR(__xludf.DUMMYFUNCTION("""COMPUTED_VALUE"""),"Mumbai")</f>
        <v>Mumbai</v>
      </c>
      <c r="S101" s="7" t="str">
        <f>IFERROR(__xludf.DUMMYFUNCTION("""COMPUTED_VALUE"""),"Wireless Charging Pad")</f>
        <v>Wireless Charging Pad</v>
      </c>
      <c r="T101" s="7">
        <f>IFERROR(__xludf.DUMMYFUNCTION("""COMPUTED_VALUE"""),2000.0)</f>
        <v>2000</v>
      </c>
      <c r="U101" s="7">
        <f>IFERROR(__xludf.DUMMYFUNCTION("""COMPUTED_VALUE"""),2.0)</f>
        <v>2</v>
      </c>
      <c r="V101" s="7">
        <f>IFERROR(__xludf.DUMMYFUNCTION("""COMPUTED_VALUE"""),4000.0)</f>
        <v>4000</v>
      </c>
      <c r="W101" s="11">
        <f>IFERROR(__xludf.DUMMYFUNCTION("""COMPUTED_VALUE"""),45320.0)</f>
        <v>45320</v>
      </c>
      <c r="X101" s="7" t="str">
        <f>IFERROR(__xludf.DUMMYFUNCTION("""COMPUTED_VALUE"""),"Mumbai")</f>
        <v>Mumbai</v>
      </c>
    </row>
    <row r="102" ht="14.25" customHeight="1"/>
    <row r="103" ht="14.25" customHeight="1"/>
    <row r="104" ht="14.25" customHeight="1">
      <c r="K104" s="9" t="s">
        <v>29</v>
      </c>
      <c r="L104" s="3"/>
      <c r="M104" s="3"/>
      <c r="N104" s="3"/>
      <c r="O104" s="3"/>
      <c r="P104" s="3"/>
      <c r="Q104" s="4"/>
    </row>
    <row r="105" ht="14.25" customHeight="1">
      <c r="K105" s="10" t="str">
        <f>FORMULATEXT(K107)</f>
        <v>=Filter(B2:G44, Right(G2:G44,1)="i")</v>
      </c>
    </row>
    <row r="106" ht="14.25" customHeight="1"/>
    <row r="107" ht="14.25" customHeight="1">
      <c r="K107" s="7" t="str">
        <f>IFERROR(__xludf.DUMMYFUNCTION("Filter(B2:G44, Right(G2:G44,1)=""i"")"),"Wireless Mouse")</f>
        <v>Wireless Mouse</v>
      </c>
      <c r="L107" s="7">
        <f>IFERROR(__xludf.DUMMYFUNCTION("""COMPUTED_VALUE"""),450.0)</f>
        <v>450</v>
      </c>
      <c r="M107" s="7">
        <f>IFERROR(__xludf.DUMMYFUNCTION("""COMPUTED_VALUE"""),2.0)</f>
        <v>2</v>
      </c>
      <c r="N107" s="7">
        <f>IFERROR(__xludf.DUMMYFUNCTION("""COMPUTED_VALUE"""),900.0)</f>
        <v>900</v>
      </c>
      <c r="O107" s="11">
        <f>IFERROR(__xludf.DUMMYFUNCTION("""COMPUTED_VALUE"""),45296.0)</f>
        <v>45296</v>
      </c>
      <c r="P107" s="7" t="str">
        <f>IFERROR(__xludf.DUMMYFUNCTION("""COMPUTED_VALUE"""),"Delhi")</f>
        <v>Delhi</v>
      </c>
    </row>
    <row r="108" ht="14.25" customHeight="1">
      <c r="K108" s="7" t="str">
        <f>IFERROR(__xludf.DUMMYFUNCTION("""COMPUTED_VALUE"""),"Mechanical Keyboard")</f>
        <v>Mechanical Keyboard</v>
      </c>
      <c r="L108" s="7">
        <f>IFERROR(__xludf.DUMMYFUNCTION("""COMPUTED_VALUE"""),1200.0)</f>
        <v>1200</v>
      </c>
      <c r="M108" s="7">
        <f>IFERROR(__xludf.DUMMYFUNCTION("""COMPUTED_VALUE"""),1.0)</f>
        <v>1</v>
      </c>
      <c r="N108" s="7">
        <f>IFERROR(__xludf.DUMMYFUNCTION("""COMPUTED_VALUE"""),1200.0)</f>
        <v>1200</v>
      </c>
      <c r="O108" s="11">
        <f>IFERROR(__xludf.DUMMYFUNCTION("""COMPUTED_VALUE"""),45332.0)</f>
        <v>45332</v>
      </c>
      <c r="P108" s="7" t="str">
        <f>IFERROR(__xludf.DUMMYFUNCTION("""COMPUTED_VALUE"""),"Mumbai")</f>
        <v>Mumbai</v>
      </c>
    </row>
    <row r="109" ht="14.25" customHeight="1">
      <c r="K109" s="7" t="str">
        <f>IFERROR(__xludf.DUMMYFUNCTION("""COMPUTED_VALUE"""),"Laptop Stand")</f>
        <v>Laptop Stand</v>
      </c>
      <c r="L109" s="7">
        <f>IFERROR(__xludf.DUMMYFUNCTION("""COMPUTED_VALUE"""),750.0)</f>
        <v>750</v>
      </c>
      <c r="M109" s="7">
        <f>IFERROR(__xludf.DUMMYFUNCTION("""COMPUTED_VALUE"""),1.0)</f>
        <v>1</v>
      </c>
      <c r="N109" s="7">
        <f>IFERROR(__xludf.DUMMYFUNCTION("""COMPUTED_VALUE"""),750.0)</f>
        <v>750</v>
      </c>
      <c r="O109" s="11">
        <f>IFERROR(__xludf.DUMMYFUNCTION("""COMPUTED_VALUE"""),45337.0)</f>
        <v>45337</v>
      </c>
      <c r="P109" s="7" t="str">
        <f>IFERROR(__xludf.DUMMYFUNCTION("""COMPUTED_VALUE"""),"Delhi")</f>
        <v>Delhi</v>
      </c>
    </row>
    <row r="110" ht="14.25" customHeight="1">
      <c r="K110" s="7" t="str">
        <f>IFERROR(__xludf.DUMMYFUNCTION("""COMPUTED_VALUE"""),"Smartwatch")</f>
        <v>Smartwatch</v>
      </c>
      <c r="L110" s="7">
        <f>IFERROR(__xludf.DUMMYFUNCTION("""COMPUTED_VALUE"""),3500.0)</f>
        <v>3500</v>
      </c>
      <c r="M110" s="7">
        <f>IFERROR(__xludf.DUMMYFUNCTION("""COMPUTED_VALUE"""),1.0)</f>
        <v>1</v>
      </c>
      <c r="N110" s="7">
        <f>IFERROR(__xludf.DUMMYFUNCTION("""COMPUTED_VALUE"""),3500.0)</f>
        <v>3500</v>
      </c>
      <c r="O110" s="11">
        <f>IFERROR(__xludf.DUMMYFUNCTION("""COMPUTED_VALUE"""),45383.0)</f>
        <v>45383</v>
      </c>
      <c r="P110" s="7" t="str">
        <f>IFERROR(__xludf.DUMMYFUNCTION("""COMPUTED_VALUE"""),"Mumbai")</f>
        <v>Mumbai</v>
      </c>
    </row>
    <row r="111" ht="14.25" customHeight="1">
      <c r="K111" s="7" t="str">
        <f>IFERROR(__xludf.DUMMYFUNCTION("""COMPUTED_VALUE"""),"External Hard Drive 1TB")</f>
        <v>External Hard Drive 1TB</v>
      </c>
      <c r="L111" s="7">
        <f>IFERROR(__xludf.DUMMYFUNCTION("""COMPUTED_VALUE"""),4500.0)</f>
        <v>4500</v>
      </c>
      <c r="M111" s="7">
        <f>IFERROR(__xludf.DUMMYFUNCTION("""COMPUTED_VALUE"""),1.0)</f>
        <v>1</v>
      </c>
      <c r="N111" s="7">
        <f>IFERROR(__xludf.DUMMYFUNCTION("""COMPUTED_VALUE"""),4500.0)</f>
        <v>4500</v>
      </c>
      <c r="O111" s="11">
        <f>IFERROR(__xludf.DUMMYFUNCTION("""COMPUTED_VALUE"""),45321.0)</f>
        <v>45321</v>
      </c>
      <c r="P111" s="7" t="str">
        <f>IFERROR(__xludf.DUMMYFUNCTION("""COMPUTED_VALUE"""),"Delhi")</f>
        <v>Delhi</v>
      </c>
    </row>
    <row r="112" ht="14.25" customHeight="1">
      <c r="K112" s="7" t="str">
        <f>IFERROR(__xludf.DUMMYFUNCTION("""COMPUTED_VALUE"""),"LED Desk Lamp")</f>
        <v>LED Desk Lamp</v>
      </c>
      <c r="L112" s="7">
        <f>IFERROR(__xludf.DUMMYFUNCTION("""COMPUTED_VALUE"""),1200.0)</f>
        <v>1200</v>
      </c>
      <c r="M112" s="7">
        <f>IFERROR(__xludf.DUMMYFUNCTION("""COMPUTED_VALUE"""),2.0)</f>
        <v>2</v>
      </c>
      <c r="N112" s="7">
        <f>IFERROR(__xludf.DUMMYFUNCTION("""COMPUTED_VALUE"""),2400.0)</f>
        <v>2400</v>
      </c>
      <c r="O112" s="11">
        <f>IFERROR(__xludf.DUMMYFUNCTION("""COMPUTED_VALUE"""),45305.0)</f>
        <v>45305</v>
      </c>
      <c r="P112" s="7" t="str">
        <f>IFERROR(__xludf.DUMMYFUNCTION("""COMPUTED_VALUE"""),"Delhi")</f>
        <v>Delhi</v>
      </c>
    </row>
    <row r="113" ht="14.25" customHeight="1">
      <c r="K113" s="7" t="str">
        <f>IFERROR(__xludf.DUMMYFUNCTION("""COMPUTED_VALUE"""),"Graphics Tablet")</f>
        <v>Graphics Tablet</v>
      </c>
      <c r="L113" s="7">
        <f>IFERROR(__xludf.DUMMYFUNCTION("""COMPUTED_VALUE"""),7200.0)</f>
        <v>7200</v>
      </c>
      <c r="M113" s="7">
        <f>IFERROR(__xludf.DUMMYFUNCTION("""COMPUTED_VALUE"""),1.0)</f>
        <v>1</v>
      </c>
      <c r="N113" s="7">
        <f>IFERROR(__xludf.DUMMYFUNCTION("""COMPUTED_VALUE"""),7200.0)</f>
        <v>7200</v>
      </c>
      <c r="O113" s="11">
        <f>IFERROR(__xludf.DUMMYFUNCTION("""COMPUTED_VALUE"""),45356.0)</f>
        <v>45356</v>
      </c>
      <c r="P113" s="7" t="str">
        <f>IFERROR(__xludf.DUMMYFUNCTION("""COMPUTED_VALUE"""),"Delhi")</f>
        <v>Delhi</v>
      </c>
    </row>
    <row r="114" ht="14.25" customHeight="1">
      <c r="K114" s="7" t="str">
        <f>IFERROR(__xludf.DUMMYFUNCTION("""COMPUTED_VALUE"""),"USB-C Hub")</f>
        <v>USB-C Hub</v>
      </c>
      <c r="L114" s="7">
        <f>IFERROR(__xludf.DUMMYFUNCTION("""COMPUTED_VALUE"""),1500.0)</f>
        <v>1500</v>
      </c>
      <c r="M114" s="7">
        <f>IFERROR(__xludf.DUMMYFUNCTION("""COMPUTED_VALUE"""),2.0)</f>
        <v>2</v>
      </c>
      <c r="N114" s="7">
        <f>IFERROR(__xludf.DUMMYFUNCTION("""COMPUTED_VALUE"""),3000.0)</f>
        <v>3000</v>
      </c>
      <c r="O114" s="11">
        <f>IFERROR(__xludf.DUMMYFUNCTION("""COMPUTED_VALUE"""),45347.0)</f>
        <v>45347</v>
      </c>
      <c r="P114" s="7" t="str">
        <f>IFERROR(__xludf.DUMMYFUNCTION("""COMPUTED_VALUE"""),"Mumbai")</f>
        <v>Mumbai</v>
      </c>
    </row>
    <row r="115" ht="14.25" customHeight="1">
      <c r="K115" s="7" t="str">
        <f>IFERROR(__xludf.DUMMYFUNCTION("""COMPUTED_VALUE"""),"Noise Cancelling Headphones")</f>
        <v>Noise Cancelling Headphones</v>
      </c>
      <c r="L115" s="7">
        <f>IFERROR(__xludf.DUMMYFUNCTION("""COMPUTED_VALUE"""),8500.0)</f>
        <v>8500</v>
      </c>
      <c r="M115" s="7">
        <f>IFERROR(__xludf.DUMMYFUNCTION("""COMPUTED_VALUE"""),1.0)</f>
        <v>1</v>
      </c>
      <c r="N115" s="7">
        <f>IFERROR(__xludf.DUMMYFUNCTION("""COMPUTED_VALUE"""),8500.0)</f>
        <v>8500</v>
      </c>
      <c r="O115" s="11">
        <f>IFERROR(__xludf.DUMMYFUNCTION("""COMPUTED_VALUE"""),45339.0)</f>
        <v>45339</v>
      </c>
      <c r="P115" s="7" t="str">
        <f>IFERROR(__xludf.DUMMYFUNCTION("""COMPUTED_VALUE"""),"Mumbai")</f>
        <v>Mumbai</v>
      </c>
    </row>
    <row r="116" ht="14.25" customHeight="1">
      <c r="K116" s="7" t="str">
        <f>IFERROR(__xludf.DUMMYFUNCTION("""COMPUTED_VALUE"""),"Webcam Full HD")</f>
        <v>Webcam Full HD</v>
      </c>
      <c r="L116" s="7">
        <f>IFERROR(__xludf.DUMMYFUNCTION("""COMPUTED_VALUE"""),3200.0)</f>
        <v>3200</v>
      </c>
      <c r="M116" s="7">
        <f>IFERROR(__xludf.DUMMYFUNCTION("""COMPUTED_VALUE"""),1.0)</f>
        <v>1</v>
      </c>
      <c r="N116" s="7">
        <f>IFERROR(__xludf.DUMMYFUNCTION("""COMPUTED_VALUE"""),3200.0)</f>
        <v>3200</v>
      </c>
      <c r="O116" s="11">
        <f>IFERROR(__xludf.DUMMYFUNCTION("""COMPUTED_VALUE"""),45380.0)</f>
        <v>45380</v>
      </c>
      <c r="P116" s="7" t="str">
        <f>IFERROR(__xludf.DUMMYFUNCTION("""COMPUTED_VALUE"""),"Mumbai")</f>
        <v>Mumbai</v>
      </c>
    </row>
    <row r="117" ht="14.25" customHeight="1">
      <c r="K117" s="7" t="str">
        <f>IFERROR(__xludf.DUMMYFUNCTION("""COMPUTED_VALUE"""),"Smart Bulb")</f>
        <v>Smart Bulb</v>
      </c>
      <c r="L117" s="7">
        <f>IFERROR(__xludf.DUMMYFUNCTION("""COMPUTED_VALUE"""),900.0)</f>
        <v>900</v>
      </c>
      <c r="M117" s="7">
        <f>IFERROR(__xludf.DUMMYFUNCTION("""COMPUTED_VALUE"""),3.0)</f>
        <v>3</v>
      </c>
      <c r="N117" s="7">
        <f>IFERROR(__xludf.DUMMYFUNCTION("""COMPUTED_VALUE"""),2700.0)</f>
        <v>2700</v>
      </c>
      <c r="O117" s="11">
        <f>IFERROR(__xludf.DUMMYFUNCTION("""COMPUTED_VALUE"""),45317.0)</f>
        <v>45317</v>
      </c>
      <c r="P117" s="7" t="str">
        <f>IFERROR(__xludf.DUMMYFUNCTION("""COMPUTED_VALUE"""),"Mumbai")</f>
        <v>Mumbai</v>
      </c>
    </row>
    <row r="118" ht="14.25" customHeight="1">
      <c r="K118" s="7" t="str">
        <f>IFERROR(__xludf.DUMMYFUNCTION("""COMPUTED_VALUE"""),"Ergonomic Chair")</f>
        <v>Ergonomic Chair</v>
      </c>
      <c r="L118" s="7">
        <f>IFERROR(__xludf.DUMMYFUNCTION("""COMPUTED_VALUE"""),12500.0)</f>
        <v>12500</v>
      </c>
      <c r="M118" s="7">
        <f>IFERROR(__xludf.DUMMYFUNCTION("""COMPUTED_VALUE"""),1.0)</f>
        <v>1</v>
      </c>
      <c r="N118" s="7">
        <f>IFERROR(__xludf.DUMMYFUNCTION("""COMPUTED_VALUE"""),12500.0)</f>
        <v>12500</v>
      </c>
      <c r="O118" s="11">
        <f>IFERROR(__xludf.DUMMYFUNCTION("""COMPUTED_VALUE"""),45391.0)</f>
        <v>45391</v>
      </c>
      <c r="P118" s="7" t="str">
        <f>IFERROR(__xludf.DUMMYFUNCTION("""COMPUTED_VALUE"""),"Mumbai")</f>
        <v>Mumbai</v>
      </c>
    </row>
    <row r="119" ht="14.25" customHeight="1">
      <c r="K119" s="7" t="str">
        <f>IFERROR(__xludf.DUMMYFUNCTION("""COMPUTED_VALUE"""),"USB Extension Cable")</f>
        <v>USB Extension Cable</v>
      </c>
      <c r="L119" s="7">
        <f>IFERROR(__xludf.DUMMYFUNCTION("""COMPUTED_VALUE"""),300.0)</f>
        <v>300</v>
      </c>
      <c r="M119" s="7">
        <f>IFERROR(__xludf.DUMMYFUNCTION("""COMPUTED_VALUE"""),4.0)</f>
        <v>4</v>
      </c>
      <c r="N119" s="7">
        <f>IFERROR(__xludf.DUMMYFUNCTION("""COMPUTED_VALUE"""),1200.0)</f>
        <v>1200</v>
      </c>
      <c r="O119" s="11">
        <f>IFERROR(__xludf.DUMMYFUNCTION("""COMPUTED_VALUE"""),45342.0)</f>
        <v>45342</v>
      </c>
      <c r="P119" s="7" t="str">
        <f>IFERROR(__xludf.DUMMYFUNCTION("""COMPUTED_VALUE"""),"Delhi")</f>
        <v>Delhi</v>
      </c>
    </row>
    <row r="120" ht="14.25" customHeight="1">
      <c r="K120" s="7" t="str">
        <f>IFERROR(__xludf.DUMMYFUNCTION("""COMPUTED_VALUE"""),"HDMI Cable 2m")</f>
        <v>HDMI Cable 2m</v>
      </c>
      <c r="L120" s="7">
        <f>IFERROR(__xludf.DUMMYFUNCTION("""COMPUTED_VALUE"""),700.0)</f>
        <v>700</v>
      </c>
      <c r="M120" s="7">
        <f>IFERROR(__xludf.DUMMYFUNCTION("""COMPUTED_VALUE"""),2.0)</f>
        <v>2</v>
      </c>
      <c r="N120" s="7">
        <f>IFERROR(__xludf.DUMMYFUNCTION("""COMPUTED_VALUE"""),1400.0)</f>
        <v>1400</v>
      </c>
      <c r="O120" s="11">
        <f>IFERROR(__xludf.DUMMYFUNCTION("""COMPUTED_VALUE"""),45312.0)</f>
        <v>45312</v>
      </c>
      <c r="P120" s="7" t="str">
        <f>IFERROR(__xludf.DUMMYFUNCTION("""COMPUTED_VALUE"""),"Mumbai")</f>
        <v>Mumbai</v>
      </c>
    </row>
    <row r="121" ht="14.25" customHeight="1">
      <c r="K121" s="7" t="str">
        <f>IFERROR(__xludf.DUMMYFUNCTION("""COMPUTED_VALUE"""),"Wireless Keyboard")</f>
        <v>Wireless Keyboard</v>
      </c>
      <c r="L121" s="7">
        <f>IFERROR(__xludf.DUMMYFUNCTION("""COMPUTED_VALUE"""),2200.0)</f>
        <v>2200</v>
      </c>
      <c r="M121" s="7">
        <f>IFERROR(__xludf.DUMMYFUNCTION("""COMPUTED_VALUE"""),2.0)</f>
        <v>2</v>
      </c>
      <c r="N121" s="7">
        <f>IFERROR(__xludf.DUMMYFUNCTION("""COMPUTED_VALUE"""),4400.0)</f>
        <v>4400</v>
      </c>
      <c r="O121" s="11">
        <f>IFERROR(__xludf.DUMMYFUNCTION("""COMPUTED_VALUE"""),45365.0)</f>
        <v>45365</v>
      </c>
      <c r="P121" s="7" t="str">
        <f>IFERROR(__xludf.DUMMYFUNCTION("""COMPUTED_VALUE"""),"Mumbai")</f>
        <v>Mumbai</v>
      </c>
    </row>
    <row r="122" ht="14.25" customHeight="1">
      <c r="K122" s="7" t="str">
        <f>IFERROR(__xludf.DUMMYFUNCTION("""COMPUTED_VALUE"""),"VR Headset")</f>
        <v>VR Headset</v>
      </c>
      <c r="L122" s="7">
        <f>IFERROR(__xludf.DUMMYFUNCTION("""COMPUTED_VALUE"""),16000.0)</f>
        <v>16000</v>
      </c>
      <c r="M122" s="7">
        <f>IFERROR(__xludf.DUMMYFUNCTION("""COMPUTED_VALUE"""),1.0)</f>
        <v>1</v>
      </c>
      <c r="N122" s="7">
        <f>IFERROR(__xludf.DUMMYFUNCTION("""COMPUTED_VALUE"""),16000.0)</f>
        <v>16000</v>
      </c>
      <c r="O122" s="11">
        <f>IFERROR(__xludf.DUMMYFUNCTION("""COMPUTED_VALUE"""),45350.0)</f>
        <v>45350</v>
      </c>
      <c r="P122" s="7" t="str">
        <f>IFERROR(__xludf.DUMMYFUNCTION("""COMPUTED_VALUE"""),"Delhi")</f>
        <v>Delhi</v>
      </c>
    </row>
    <row r="123" ht="14.25" customHeight="1">
      <c r="K123" s="7" t="str">
        <f>IFERROR(__xludf.DUMMYFUNCTION("""COMPUTED_VALUE"""),"Smart Thermostat")</f>
        <v>Smart Thermostat</v>
      </c>
      <c r="L123" s="7">
        <f>IFERROR(__xludf.DUMMYFUNCTION("""COMPUTED_VALUE"""),5500.0)</f>
        <v>5500</v>
      </c>
      <c r="M123" s="7">
        <f>IFERROR(__xludf.DUMMYFUNCTION("""COMPUTED_VALUE"""),1.0)</f>
        <v>1</v>
      </c>
      <c r="N123" s="7">
        <f>IFERROR(__xludf.DUMMYFUNCTION("""COMPUTED_VALUE"""),5500.0)</f>
        <v>5500</v>
      </c>
      <c r="O123" s="11">
        <f>IFERROR(__xludf.DUMMYFUNCTION("""COMPUTED_VALUE"""),45384.0)</f>
        <v>45384</v>
      </c>
      <c r="P123" s="7" t="str">
        <f>IFERROR(__xludf.DUMMYFUNCTION("""COMPUTED_VALUE"""),"Mumbai")</f>
        <v>Mumbai</v>
      </c>
    </row>
    <row r="124" ht="14.25" customHeight="1">
      <c r="K124" s="7" t="str">
        <f>IFERROR(__xludf.DUMMYFUNCTION("""COMPUTED_VALUE"""),"E-Book Reader")</f>
        <v>E-Book Reader</v>
      </c>
      <c r="L124" s="7">
        <f>IFERROR(__xludf.DUMMYFUNCTION("""COMPUTED_VALUE"""),11000.0)</f>
        <v>11000</v>
      </c>
      <c r="M124" s="7">
        <f>IFERROR(__xludf.DUMMYFUNCTION("""COMPUTED_VALUE"""),1.0)</f>
        <v>1</v>
      </c>
      <c r="N124" s="7">
        <f>IFERROR(__xludf.DUMMYFUNCTION("""COMPUTED_VALUE"""),11000.0)</f>
        <v>11000</v>
      </c>
      <c r="O124" s="11">
        <f>IFERROR(__xludf.DUMMYFUNCTION("""COMPUTED_VALUE"""),45331.0)</f>
        <v>45331</v>
      </c>
      <c r="P124" s="7" t="str">
        <f>IFERROR(__xludf.DUMMYFUNCTION("""COMPUTED_VALUE"""),"Mumbai")</f>
        <v>Mumbai</v>
      </c>
    </row>
    <row r="125" ht="14.25" customHeight="1">
      <c r="K125" s="7" t="str">
        <f>IFERROR(__xludf.DUMMYFUNCTION("""COMPUTED_VALUE"""),"Smart Door Lock")</f>
        <v>Smart Door Lock</v>
      </c>
      <c r="L125" s="7">
        <f>IFERROR(__xludf.DUMMYFUNCTION("""COMPUTED_VALUE"""),9000.0)</f>
        <v>9000</v>
      </c>
      <c r="M125" s="7">
        <f>IFERROR(__xludf.DUMMYFUNCTION("""COMPUTED_VALUE"""),1.0)</f>
        <v>1</v>
      </c>
      <c r="N125" s="7">
        <f>IFERROR(__xludf.DUMMYFUNCTION("""COMPUTED_VALUE"""),9000.0)</f>
        <v>9000</v>
      </c>
      <c r="O125" s="11">
        <f>IFERROR(__xludf.DUMMYFUNCTION("""COMPUTED_VALUE"""),45375.0)</f>
        <v>45375</v>
      </c>
      <c r="P125" s="7" t="str">
        <f>IFERROR(__xludf.DUMMYFUNCTION("""COMPUTED_VALUE"""),"Delhi")</f>
        <v>Delhi</v>
      </c>
    </row>
    <row r="126" ht="14.25" customHeight="1">
      <c r="K126" s="7" t="str">
        <f>IFERROR(__xludf.DUMMYFUNCTION("""COMPUTED_VALUE"""),"Digital Drawing Pad")</f>
        <v>Digital Drawing Pad</v>
      </c>
      <c r="L126" s="7">
        <f>IFERROR(__xludf.DUMMYFUNCTION("""COMPUTED_VALUE"""),6800.0)</f>
        <v>6800</v>
      </c>
      <c r="M126" s="7">
        <f>IFERROR(__xludf.DUMMYFUNCTION("""COMPUTED_VALUE"""),1.0)</f>
        <v>1</v>
      </c>
      <c r="N126" s="7">
        <f>IFERROR(__xludf.DUMMYFUNCTION("""COMPUTED_VALUE"""),6800.0)</f>
        <v>6800</v>
      </c>
      <c r="O126" s="11">
        <f>IFERROR(__xludf.DUMMYFUNCTION("""COMPUTED_VALUE"""),45361.0)</f>
        <v>45361</v>
      </c>
      <c r="P126" s="7" t="str">
        <f>IFERROR(__xludf.DUMMYFUNCTION("""COMPUTED_VALUE"""),"Delhi")</f>
        <v>Delhi</v>
      </c>
    </row>
    <row r="127" ht="14.25" customHeight="1">
      <c r="K127" s="7" t="str">
        <f>IFERROR(__xludf.DUMMYFUNCTION("""COMPUTED_VALUE"""),"Wireless Charging Pad")</f>
        <v>Wireless Charging Pad</v>
      </c>
      <c r="L127" s="7">
        <f>IFERROR(__xludf.DUMMYFUNCTION("""COMPUTED_VALUE"""),2000.0)</f>
        <v>2000</v>
      </c>
      <c r="M127" s="7">
        <f>IFERROR(__xludf.DUMMYFUNCTION("""COMPUTED_VALUE"""),2.0)</f>
        <v>2</v>
      </c>
      <c r="N127" s="7">
        <f>IFERROR(__xludf.DUMMYFUNCTION("""COMPUTED_VALUE"""),4000.0)</f>
        <v>4000</v>
      </c>
      <c r="O127" s="11">
        <f>IFERROR(__xludf.DUMMYFUNCTION("""COMPUTED_VALUE"""),45320.0)</f>
        <v>45320</v>
      </c>
      <c r="P127" s="7" t="str">
        <f>IFERROR(__xludf.DUMMYFUNCTION("""COMPUTED_VALUE"""),"Mumbai")</f>
        <v>Mumbai</v>
      </c>
    </row>
    <row r="128" ht="14.25" customHeight="1">
      <c r="K128" s="7" t="str">
        <f>IFERROR(__xludf.DUMMYFUNCTION("""COMPUTED_VALUE"""),"USB Microphone")</f>
        <v>USB Microphone</v>
      </c>
      <c r="L128" s="7">
        <f>IFERROR(__xludf.DUMMYFUNCTION("""COMPUTED_VALUE"""),5600.0)</f>
        <v>5600</v>
      </c>
      <c r="M128" s="7">
        <f>IFERROR(__xludf.DUMMYFUNCTION("""COMPUTED_VALUE"""),1.0)</f>
        <v>1</v>
      </c>
      <c r="N128" s="7">
        <f>IFERROR(__xludf.DUMMYFUNCTION("""COMPUTED_VALUE"""),5600.0)</f>
        <v>5600</v>
      </c>
      <c r="O128" s="11">
        <f>IFERROR(__xludf.DUMMYFUNCTION("""COMPUTED_VALUE"""),45389.0)</f>
        <v>45389</v>
      </c>
      <c r="P128" s="7" t="str">
        <f>IFERROR(__xludf.DUMMYFUNCTION("""COMPUTED_VALUE"""),"Delhi")</f>
        <v>Delhi</v>
      </c>
    </row>
    <row r="129" ht="14.25" customHeight="1">
      <c r="K129" s="7" t="str">
        <f>IFERROR(__xludf.DUMMYFUNCTION("""COMPUTED_VALUE"""),"External DVD Drive")</f>
        <v>External DVD Drive</v>
      </c>
      <c r="L129" s="7">
        <f>IFERROR(__xludf.DUMMYFUNCTION("""COMPUTED_VALUE"""),3800.0)</f>
        <v>3800</v>
      </c>
      <c r="M129" s="7">
        <f>IFERROR(__xludf.DUMMYFUNCTION("""COMPUTED_VALUE"""),1.0)</f>
        <v>1</v>
      </c>
      <c r="N129" s="7">
        <f>IFERROR(__xludf.DUMMYFUNCTION("""COMPUTED_VALUE"""),3800.0)</f>
        <v>3800</v>
      </c>
      <c r="O129" s="11">
        <f>IFERROR(__xludf.DUMMYFUNCTION("""COMPUTED_VALUE"""),45328.0)</f>
        <v>45328</v>
      </c>
      <c r="P129" s="7" t="str">
        <f>IFERROR(__xludf.DUMMYFUNCTION("""COMPUTED_VALUE"""),"Delhi")</f>
        <v>Delhi</v>
      </c>
    </row>
    <row r="130" ht="14.25" customHeight="1">
      <c r="K130" s="7" t="str">
        <f>IFERROR(__xludf.DUMMYFUNCTION("""COMPUTED_VALUE"""),"Robot Vacuum Cleaner")</f>
        <v>Robot Vacuum Cleaner</v>
      </c>
      <c r="L130" s="7">
        <f>IFERROR(__xludf.DUMMYFUNCTION("""COMPUTED_VALUE"""),20000.0)</f>
        <v>20000</v>
      </c>
      <c r="M130" s="7">
        <f>IFERROR(__xludf.DUMMYFUNCTION("""COMPUTED_VALUE"""),1.0)</f>
        <v>1</v>
      </c>
      <c r="N130" s="7">
        <f>IFERROR(__xludf.DUMMYFUNCTION("""COMPUTED_VALUE"""),20000.0)</f>
        <v>20000</v>
      </c>
      <c r="O130" s="11">
        <f>IFERROR(__xludf.DUMMYFUNCTION("""COMPUTED_VALUE"""),45379.0)</f>
        <v>45379</v>
      </c>
      <c r="P130" s="7" t="str">
        <f>IFERROR(__xludf.DUMMYFUNCTION("""COMPUTED_VALUE"""),"Delhi")</f>
        <v>Delhi</v>
      </c>
    </row>
    <row r="131" ht="14.25" customHeight="1">
      <c r="K131" s="7" t="str">
        <f>IFERROR(__xludf.DUMMYFUNCTION("""COMPUTED_VALUE"""),"Air Purifier")</f>
        <v>Air Purifier</v>
      </c>
      <c r="L131" s="7">
        <f>IFERROR(__xludf.DUMMYFUNCTION("""COMPUTED_VALUE"""),7000.0)</f>
        <v>7000</v>
      </c>
      <c r="M131" s="7">
        <f>IFERROR(__xludf.DUMMYFUNCTION("""COMPUTED_VALUE"""),1.0)</f>
        <v>1</v>
      </c>
      <c r="N131" s="7">
        <f>IFERROR(__xludf.DUMMYFUNCTION("""COMPUTED_VALUE"""),7000.0)</f>
        <v>7000</v>
      </c>
      <c r="O131" s="11">
        <f>IFERROR(__xludf.DUMMYFUNCTION("""COMPUTED_VALUE"""),45300.0)</f>
        <v>45300</v>
      </c>
      <c r="P131" s="7" t="str">
        <f>IFERROR(__xludf.DUMMYFUNCTION("""COMPUTED_VALUE"""),"Mumbai")</f>
        <v>Mumbai</v>
      </c>
    </row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K19:N19"/>
    <mergeCell ref="K30:Q30"/>
    <mergeCell ref="K50:Q50"/>
    <mergeCell ref="K58:Q58"/>
    <mergeCell ref="K71:R71"/>
    <mergeCell ref="K104:Q104"/>
    <mergeCell ref="K1:N1"/>
    <mergeCell ref="K3:Q3"/>
    <mergeCell ref="K5:Q5"/>
    <mergeCell ref="K7:Q7"/>
    <mergeCell ref="K9:R9"/>
    <mergeCell ref="K11:N11"/>
    <mergeCell ref="K13:Q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4" width="8.71"/>
    <col customWidth="1" min="5" max="5" width="12.43"/>
    <col customWidth="1" min="6" max="6" width="15.14"/>
    <col customWidth="1" min="7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s="13"/>
      <c r="L1" s="13"/>
      <c r="M1" s="13"/>
      <c r="N1" s="13"/>
    </row>
    <row r="2" ht="14.25" customHeight="1">
      <c r="B2" s="5" t="s">
        <v>7</v>
      </c>
      <c r="C2" s="5">
        <v>450.0</v>
      </c>
      <c r="D2" s="5">
        <v>2.0</v>
      </c>
      <c r="E2" s="5">
        <v>900.0</v>
      </c>
      <c r="F2" s="6">
        <v>45296.0</v>
      </c>
      <c r="G2" s="7" t="s">
        <v>8</v>
      </c>
      <c r="K2" s="7" t="s">
        <v>63</v>
      </c>
    </row>
    <row r="3" ht="14.25" customHeight="1">
      <c r="B3" s="5" t="s">
        <v>10</v>
      </c>
      <c r="C3" s="5">
        <v>1200.0</v>
      </c>
      <c r="D3" s="5">
        <v>1.0</v>
      </c>
      <c r="E3" s="5">
        <v>1200.0</v>
      </c>
      <c r="F3" s="6">
        <v>45332.0</v>
      </c>
      <c r="G3" s="7" t="s">
        <v>11</v>
      </c>
      <c r="K3" s="7" t="s">
        <v>64</v>
      </c>
      <c r="L3" s="13"/>
      <c r="M3" s="13"/>
      <c r="N3" s="13"/>
      <c r="O3" s="13"/>
      <c r="P3" s="13"/>
      <c r="Q3" s="13"/>
    </row>
    <row r="4" ht="14.25" customHeight="1">
      <c r="B4" s="5" t="s">
        <v>13</v>
      </c>
      <c r="C4" s="5">
        <v>1800.0</v>
      </c>
      <c r="D4" s="5">
        <v>2.0</v>
      </c>
      <c r="E4" s="5">
        <v>3600.0</v>
      </c>
      <c r="F4" s="6">
        <v>45313.0</v>
      </c>
      <c r="G4" s="7" t="s">
        <v>14</v>
      </c>
      <c r="K4" s="7" t="s">
        <v>65</v>
      </c>
    </row>
    <row r="5" ht="14.25" customHeight="1">
      <c r="B5" s="5" t="s">
        <v>15</v>
      </c>
      <c r="C5" s="5">
        <v>600.0</v>
      </c>
      <c r="D5" s="5">
        <v>3.0</v>
      </c>
      <c r="E5" s="5">
        <v>1800.0</v>
      </c>
      <c r="F5" s="6">
        <v>45353.0</v>
      </c>
      <c r="G5" s="7" t="s">
        <v>16</v>
      </c>
      <c r="K5" s="7" t="s">
        <v>66</v>
      </c>
      <c r="L5" s="13"/>
      <c r="M5" s="13"/>
      <c r="N5" s="13"/>
      <c r="O5" s="13"/>
      <c r="P5" s="13"/>
      <c r="Q5" s="13"/>
      <c r="R5" s="13"/>
    </row>
    <row r="6" ht="14.25" customHeight="1">
      <c r="B6" s="5" t="s">
        <v>18</v>
      </c>
      <c r="C6" s="5">
        <v>750.0</v>
      </c>
      <c r="D6" s="5">
        <v>1.0</v>
      </c>
      <c r="E6" s="5">
        <v>750.0</v>
      </c>
      <c r="F6" s="6">
        <v>45337.0</v>
      </c>
      <c r="G6" s="7" t="s">
        <v>8</v>
      </c>
      <c r="K6" s="7" t="s">
        <v>67</v>
      </c>
      <c r="L6" s="13"/>
      <c r="M6" s="13"/>
      <c r="N6" s="13"/>
      <c r="O6" s="13"/>
      <c r="P6" s="13"/>
      <c r="Q6" s="13"/>
      <c r="R6" s="13"/>
    </row>
    <row r="7" ht="14.25" customHeight="1">
      <c r="B7" s="5" t="s">
        <v>19</v>
      </c>
      <c r="C7" s="5">
        <v>2000.0</v>
      </c>
      <c r="D7" s="5">
        <v>2.0</v>
      </c>
      <c r="E7" s="5">
        <v>4000.0</v>
      </c>
      <c r="F7" s="6">
        <v>45299.0</v>
      </c>
      <c r="G7" s="7" t="s">
        <v>16</v>
      </c>
      <c r="L7" s="13"/>
      <c r="M7" s="13"/>
      <c r="N7" s="13"/>
      <c r="O7" s="13"/>
      <c r="P7" s="13"/>
      <c r="Q7" s="13"/>
      <c r="R7" s="13"/>
    </row>
    <row r="8" ht="14.25" customHeight="1">
      <c r="B8" s="5" t="s">
        <v>21</v>
      </c>
      <c r="C8" s="5">
        <v>500.0</v>
      </c>
      <c r="D8" s="5">
        <v>3.0</v>
      </c>
      <c r="E8" s="5">
        <v>1500.0</v>
      </c>
      <c r="F8" s="6">
        <v>45369.0</v>
      </c>
      <c r="G8" s="7" t="s">
        <v>14</v>
      </c>
      <c r="L8" s="13"/>
      <c r="M8" s="13"/>
      <c r="N8" s="13"/>
      <c r="O8" s="13"/>
      <c r="P8" s="13"/>
      <c r="Q8" s="13"/>
      <c r="R8" s="13"/>
    </row>
    <row r="9" ht="28.5" customHeight="1">
      <c r="B9" s="5" t="s">
        <v>22</v>
      </c>
      <c r="C9" s="5">
        <v>1200.0</v>
      </c>
      <c r="D9" s="5">
        <v>2.0</v>
      </c>
      <c r="E9" s="5">
        <v>2400.0</v>
      </c>
      <c r="F9" s="6">
        <v>45349.0</v>
      </c>
      <c r="G9" s="7" t="s">
        <v>14</v>
      </c>
      <c r="K9" s="7" t="s">
        <v>63</v>
      </c>
      <c r="L9" s="13"/>
      <c r="M9" s="13"/>
      <c r="N9" s="13"/>
      <c r="O9" s="13"/>
      <c r="P9" s="13"/>
      <c r="Q9" s="13"/>
      <c r="R9" s="13"/>
    </row>
    <row r="10" ht="14.25" customHeight="1">
      <c r="B10" s="5" t="s">
        <v>24</v>
      </c>
      <c r="C10" s="5">
        <v>3500.0</v>
      </c>
      <c r="D10" s="5">
        <v>1.0</v>
      </c>
      <c r="E10" s="5">
        <v>3500.0</v>
      </c>
      <c r="F10" s="6">
        <v>45383.0</v>
      </c>
      <c r="G10" s="7" t="s">
        <v>11</v>
      </c>
      <c r="K10" s="10" t="str">
        <f>FORMULATEXT(K11)</f>
        <v>=Sort(B2:G44,4,True)</v>
      </c>
      <c r="L10" s="13"/>
      <c r="M10" s="13"/>
      <c r="N10" s="13"/>
      <c r="O10" s="13"/>
      <c r="P10" s="13"/>
      <c r="Q10" s="13"/>
      <c r="R10" s="13"/>
    </row>
    <row r="11" ht="28.5" customHeight="1">
      <c r="B11" s="5" t="s">
        <v>25</v>
      </c>
      <c r="C11" s="5">
        <v>4500.0</v>
      </c>
      <c r="D11" s="5">
        <v>1.0</v>
      </c>
      <c r="E11" s="5">
        <v>4500.0</v>
      </c>
      <c r="F11" s="6">
        <v>45321.0</v>
      </c>
      <c r="G11" s="7" t="s">
        <v>8</v>
      </c>
      <c r="K11" s="7" t="str">
        <f t="array" ref="K11:P53">Sort(B2:G44,4,True)</f>
        <v>Laptop Stand</v>
      </c>
      <c r="L11" s="13">
        <v>750.0</v>
      </c>
      <c r="M11" s="13">
        <v>1.0</v>
      </c>
      <c r="N11" s="13">
        <v>750.0</v>
      </c>
      <c r="O11" s="14">
        <v>45337.0</v>
      </c>
      <c r="P11" s="13" t="s">
        <v>8</v>
      </c>
      <c r="Q11" s="13"/>
      <c r="R11" s="13"/>
    </row>
    <row r="12" ht="14.25" customHeight="1">
      <c r="B12" s="5" t="s">
        <v>27</v>
      </c>
      <c r="C12" s="5">
        <v>5800.0</v>
      </c>
      <c r="D12" s="5">
        <v>1.0</v>
      </c>
      <c r="E12" s="5">
        <v>5800.0</v>
      </c>
      <c r="F12" s="6">
        <v>45334.0</v>
      </c>
      <c r="G12" s="7" t="s">
        <v>16</v>
      </c>
      <c r="K12" s="7" t="s">
        <v>33</v>
      </c>
      <c r="L12" s="13">
        <v>150.0</v>
      </c>
      <c r="M12" s="13">
        <v>5.0</v>
      </c>
      <c r="N12" s="13">
        <v>750.0</v>
      </c>
      <c r="O12" s="14">
        <v>45388.0</v>
      </c>
      <c r="P12" s="13" t="s">
        <v>14</v>
      </c>
      <c r="Q12" s="13"/>
      <c r="R12" s="13"/>
    </row>
    <row r="13" ht="14.25" customHeight="1">
      <c r="B13" s="5" t="s">
        <v>28</v>
      </c>
      <c r="C13" s="5">
        <v>2500.0</v>
      </c>
      <c r="D13" s="5">
        <v>2.0</v>
      </c>
      <c r="E13" s="5">
        <v>5000.0</v>
      </c>
      <c r="F13" s="6">
        <v>45371.0</v>
      </c>
      <c r="G13" s="7" t="s">
        <v>16</v>
      </c>
      <c r="K13" s="7" t="s">
        <v>7</v>
      </c>
      <c r="L13" s="13">
        <v>450.0</v>
      </c>
      <c r="M13" s="13">
        <v>2.0</v>
      </c>
      <c r="N13" s="13">
        <v>900.0</v>
      </c>
      <c r="O13" s="14">
        <v>45296.0</v>
      </c>
      <c r="P13" s="13" t="s">
        <v>8</v>
      </c>
      <c r="Q13" s="13"/>
      <c r="R13" s="13"/>
    </row>
    <row r="14" ht="14.25" customHeight="1">
      <c r="B14" s="5" t="s">
        <v>30</v>
      </c>
      <c r="C14" s="5">
        <v>1200.0</v>
      </c>
      <c r="D14" s="5">
        <v>2.0</v>
      </c>
      <c r="E14" s="5">
        <v>2400.0</v>
      </c>
      <c r="F14" s="6">
        <v>45305.0</v>
      </c>
      <c r="G14" s="7" t="s">
        <v>8</v>
      </c>
      <c r="K14" s="7" t="s">
        <v>10</v>
      </c>
      <c r="L14" s="7">
        <v>1200.0</v>
      </c>
      <c r="M14" s="7">
        <v>1.0</v>
      </c>
      <c r="N14" s="7">
        <v>1200.0</v>
      </c>
      <c r="O14" s="11">
        <v>45332.0</v>
      </c>
      <c r="P14" s="7" t="s">
        <v>11</v>
      </c>
    </row>
    <row r="15" ht="14.25" customHeight="1">
      <c r="B15" s="5" t="s">
        <v>31</v>
      </c>
      <c r="C15" s="5">
        <v>7200.0</v>
      </c>
      <c r="D15" s="5">
        <v>1.0</v>
      </c>
      <c r="E15" s="5">
        <v>7200.0</v>
      </c>
      <c r="F15" s="6">
        <v>45356.0</v>
      </c>
      <c r="G15" s="7" t="s">
        <v>8</v>
      </c>
      <c r="K15" s="7" t="s">
        <v>39</v>
      </c>
      <c r="L15" s="7">
        <v>300.0</v>
      </c>
      <c r="M15" s="7">
        <v>4.0</v>
      </c>
      <c r="N15" s="7">
        <v>1200.0</v>
      </c>
      <c r="O15" s="11">
        <v>45342.0</v>
      </c>
      <c r="P15" s="7" t="s">
        <v>8</v>
      </c>
    </row>
    <row r="16" ht="14.25" customHeight="1">
      <c r="B16" s="5" t="s">
        <v>32</v>
      </c>
      <c r="C16" s="5">
        <v>1500.0</v>
      </c>
      <c r="D16" s="5">
        <v>2.0</v>
      </c>
      <c r="E16" s="5">
        <v>3000.0</v>
      </c>
      <c r="F16" s="6">
        <v>45347.0</v>
      </c>
      <c r="G16" s="7" t="s">
        <v>11</v>
      </c>
      <c r="K16" s="7" t="s">
        <v>42</v>
      </c>
      <c r="L16" s="7">
        <v>700.0</v>
      </c>
      <c r="M16" s="7">
        <v>2.0</v>
      </c>
      <c r="N16" s="7">
        <v>1400.0</v>
      </c>
      <c r="O16" s="11">
        <v>45312.0</v>
      </c>
      <c r="P16" s="7" t="s">
        <v>11</v>
      </c>
    </row>
    <row r="17" ht="14.25" customHeight="1">
      <c r="B17" s="5" t="s">
        <v>33</v>
      </c>
      <c r="C17" s="5">
        <v>150.0</v>
      </c>
      <c r="D17" s="5">
        <v>5.0</v>
      </c>
      <c r="E17" s="5">
        <v>750.0</v>
      </c>
      <c r="F17" s="6">
        <v>45388.0</v>
      </c>
      <c r="G17" s="7" t="s">
        <v>14</v>
      </c>
      <c r="K17" s="7" t="s">
        <v>21</v>
      </c>
      <c r="L17" s="7">
        <v>500.0</v>
      </c>
      <c r="M17" s="7">
        <v>3.0</v>
      </c>
      <c r="N17" s="7">
        <v>1500.0</v>
      </c>
      <c r="O17" s="11">
        <v>45369.0</v>
      </c>
      <c r="P17" s="7" t="s">
        <v>14</v>
      </c>
    </row>
    <row r="18" ht="14.25" customHeight="1">
      <c r="B18" s="5" t="s">
        <v>34</v>
      </c>
      <c r="C18" s="5">
        <v>8500.0</v>
      </c>
      <c r="D18" s="5">
        <v>1.0</v>
      </c>
      <c r="E18" s="5">
        <v>8500.0</v>
      </c>
      <c r="F18" s="6">
        <v>45339.0</v>
      </c>
      <c r="G18" s="7" t="s">
        <v>11</v>
      </c>
      <c r="K18" s="7" t="s">
        <v>50</v>
      </c>
      <c r="L18" s="7">
        <v>800.0</v>
      </c>
      <c r="M18" s="7">
        <v>2.0</v>
      </c>
      <c r="N18" s="7">
        <v>1600.0</v>
      </c>
      <c r="O18" s="11">
        <v>45344.0</v>
      </c>
      <c r="P18" s="7" t="s">
        <v>14</v>
      </c>
    </row>
    <row r="19" ht="14.25" customHeight="1">
      <c r="B19" s="5" t="s">
        <v>35</v>
      </c>
      <c r="C19" s="5">
        <v>3200.0</v>
      </c>
      <c r="D19" s="5">
        <v>1.0</v>
      </c>
      <c r="E19" s="5">
        <v>3200.0</v>
      </c>
      <c r="F19" s="6">
        <v>45380.0</v>
      </c>
      <c r="G19" s="7" t="s">
        <v>11</v>
      </c>
      <c r="K19" s="7" t="s">
        <v>40</v>
      </c>
      <c r="L19" s="7">
        <v>1700.0</v>
      </c>
      <c r="M19" s="7">
        <v>1.0</v>
      </c>
      <c r="N19" s="7">
        <v>1700.0</v>
      </c>
      <c r="O19" s="11">
        <v>45359.0</v>
      </c>
      <c r="P19" s="7" t="s">
        <v>14</v>
      </c>
    </row>
    <row r="20" ht="14.25" customHeight="1">
      <c r="B20" s="5" t="s">
        <v>36</v>
      </c>
      <c r="C20" s="5">
        <v>900.0</v>
      </c>
      <c r="D20" s="5">
        <v>3.0</v>
      </c>
      <c r="E20" s="5">
        <v>2700.0</v>
      </c>
      <c r="F20" s="6">
        <v>45317.0</v>
      </c>
      <c r="G20" s="7" t="s">
        <v>11</v>
      </c>
      <c r="K20" s="7" t="s">
        <v>15</v>
      </c>
      <c r="L20" s="7">
        <v>600.0</v>
      </c>
      <c r="M20" s="7">
        <v>3.0</v>
      </c>
      <c r="N20" s="7">
        <v>1800.0</v>
      </c>
      <c r="O20" s="11">
        <v>45353.0</v>
      </c>
      <c r="P20" s="7" t="s">
        <v>16</v>
      </c>
    </row>
    <row r="21" ht="14.25" customHeight="1">
      <c r="B21" s="5" t="s">
        <v>37</v>
      </c>
      <c r="C21" s="5">
        <v>12500.0</v>
      </c>
      <c r="D21" s="5">
        <v>1.0</v>
      </c>
      <c r="E21" s="5">
        <v>12500.0</v>
      </c>
      <c r="F21" s="6">
        <v>45391.0</v>
      </c>
      <c r="G21" s="7" t="s">
        <v>11</v>
      </c>
      <c r="K21" s="7" t="s">
        <v>45</v>
      </c>
      <c r="L21" s="7">
        <v>600.0</v>
      </c>
      <c r="M21" s="7">
        <v>3.0</v>
      </c>
      <c r="N21" s="7">
        <v>1800.0</v>
      </c>
      <c r="O21" s="11">
        <v>45298.0</v>
      </c>
      <c r="P21" s="7" t="s">
        <v>14</v>
      </c>
    </row>
    <row r="22" ht="14.25" customHeight="1">
      <c r="B22" s="5" t="s">
        <v>38</v>
      </c>
      <c r="C22" s="5">
        <v>9000.0</v>
      </c>
      <c r="D22" s="5">
        <v>1.0</v>
      </c>
      <c r="E22" s="5">
        <v>9000.0</v>
      </c>
      <c r="F22" s="6">
        <v>45302.0</v>
      </c>
      <c r="G22" s="7" t="s">
        <v>14</v>
      </c>
      <c r="K22" s="7" t="s">
        <v>22</v>
      </c>
      <c r="L22" s="7">
        <v>1200.0</v>
      </c>
      <c r="M22" s="7">
        <v>2.0</v>
      </c>
      <c r="N22" s="7">
        <v>2400.0</v>
      </c>
      <c r="O22" s="11">
        <v>45349.0</v>
      </c>
      <c r="P22" s="7" t="s">
        <v>14</v>
      </c>
    </row>
    <row r="23" ht="14.25" customHeight="1">
      <c r="B23" s="5" t="s">
        <v>39</v>
      </c>
      <c r="C23" s="5">
        <v>300.0</v>
      </c>
      <c r="D23" s="5">
        <v>4.0</v>
      </c>
      <c r="E23" s="5">
        <v>1200.0</v>
      </c>
      <c r="F23" s="6">
        <v>45342.0</v>
      </c>
      <c r="G23" s="7" t="s">
        <v>8</v>
      </c>
      <c r="K23" s="7" t="s">
        <v>30</v>
      </c>
      <c r="L23" s="7">
        <v>1200.0</v>
      </c>
      <c r="M23" s="7">
        <v>2.0</v>
      </c>
      <c r="N23" s="7">
        <v>2400.0</v>
      </c>
      <c r="O23" s="11">
        <v>45305.0</v>
      </c>
      <c r="P23" s="7" t="s">
        <v>8</v>
      </c>
    </row>
    <row r="24" ht="14.25" customHeight="1">
      <c r="B24" s="5" t="s">
        <v>40</v>
      </c>
      <c r="C24" s="5">
        <v>1700.0</v>
      </c>
      <c r="D24" s="5">
        <v>1.0</v>
      </c>
      <c r="E24" s="5">
        <v>1700.0</v>
      </c>
      <c r="F24" s="6">
        <v>45359.0</v>
      </c>
      <c r="G24" s="7" t="s">
        <v>14</v>
      </c>
      <c r="K24" s="7" t="s">
        <v>36</v>
      </c>
      <c r="L24" s="7">
        <v>900.0</v>
      </c>
      <c r="M24" s="7">
        <v>3.0</v>
      </c>
      <c r="N24" s="7">
        <v>2700.0</v>
      </c>
      <c r="O24" s="11">
        <v>45317.0</v>
      </c>
      <c r="P24" s="7" t="s">
        <v>11</v>
      </c>
    </row>
    <row r="25" ht="14.25" customHeight="1">
      <c r="B25" s="5" t="s">
        <v>41</v>
      </c>
      <c r="C25" s="5">
        <v>8000.0</v>
      </c>
      <c r="D25" s="5">
        <v>1.0</v>
      </c>
      <c r="E25" s="5">
        <v>8000.0</v>
      </c>
      <c r="F25" s="6">
        <v>45327.0</v>
      </c>
      <c r="G25" s="7" t="s">
        <v>16</v>
      </c>
      <c r="K25" s="7" t="s">
        <v>51</v>
      </c>
      <c r="L25" s="7">
        <v>2700.0</v>
      </c>
      <c r="M25" s="7">
        <v>1.0</v>
      </c>
      <c r="N25" s="7">
        <v>2700.0</v>
      </c>
      <c r="O25" s="11">
        <v>45354.0</v>
      </c>
      <c r="P25" s="7" t="s">
        <v>16</v>
      </c>
    </row>
    <row r="26" ht="14.25" customHeight="1">
      <c r="B26" s="5" t="s">
        <v>42</v>
      </c>
      <c r="C26" s="5">
        <v>700.0</v>
      </c>
      <c r="D26" s="5">
        <v>2.0</v>
      </c>
      <c r="E26" s="5">
        <v>1400.0</v>
      </c>
      <c r="F26" s="6">
        <v>45312.0</v>
      </c>
      <c r="G26" s="7" t="s">
        <v>11</v>
      </c>
      <c r="K26" s="7" t="s">
        <v>32</v>
      </c>
      <c r="L26" s="7">
        <v>1500.0</v>
      </c>
      <c r="M26" s="7">
        <v>2.0</v>
      </c>
      <c r="N26" s="7">
        <v>3000.0</v>
      </c>
      <c r="O26" s="11">
        <v>45347.0</v>
      </c>
      <c r="P26" s="7" t="s">
        <v>11</v>
      </c>
    </row>
    <row r="27" ht="14.25" customHeight="1">
      <c r="B27" s="5" t="s">
        <v>43</v>
      </c>
      <c r="C27" s="5">
        <v>2200.0</v>
      </c>
      <c r="D27" s="5">
        <v>2.0</v>
      </c>
      <c r="E27" s="5">
        <v>4400.0</v>
      </c>
      <c r="F27" s="6">
        <v>45365.0</v>
      </c>
      <c r="G27" s="7" t="s">
        <v>11</v>
      </c>
      <c r="K27" s="7" t="s">
        <v>35</v>
      </c>
      <c r="L27" s="7">
        <v>3200.0</v>
      </c>
      <c r="M27" s="7">
        <v>1.0</v>
      </c>
      <c r="N27" s="7">
        <v>3200.0</v>
      </c>
      <c r="O27" s="11">
        <v>45380.0</v>
      </c>
      <c r="P27" s="7" t="s">
        <v>11</v>
      </c>
    </row>
    <row r="28" ht="14.25" customHeight="1">
      <c r="B28" s="5" t="s">
        <v>44</v>
      </c>
      <c r="C28" s="5">
        <v>16000.0</v>
      </c>
      <c r="D28" s="5">
        <v>1.0</v>
      </c>
      <c r="E28" s="5">
        <v>16000.0</v>
      </c>
      <c r="F28" s="6">
        <v>45350.0</v>
      </c>
      <c r="G28" s="7" t="s">
        <v>8</v>
      </c>
      <c r="K28" s="7" t="s">
        <v>24</v>
      </c>
      <c r="L28" s="7">
        <v>3500.0</v>
      </c>
      <c r="M28" s="7">
        <v>1.0</v>
      </c>
      <c r="N28" s="7">
        <v>3500.0</v>
      </c>
      <c r="O28" s="11">
        <v>45383.0</v>
      </c>
      <c r="P28" s="7" t="s">
        <v>11</v>
      </c>
    </row>
    <row r="29" ht="14.25" customHeight="1">
      <c r="B29" s="5" t="s">
        <v>45</v>
      </c>
      <c r="C29" s="5">
        <v>600.0</v>
      </c>
      <c r="D29" s="5">
        <v>3.0</v>
      </c>
      <c r="E29" s="5">
        <v>1800.0</v>
      </c>
      <c r="F29" s="6">
        <v>45298.0</v>
      </c>
      <c r="G29" s="7" t="s">
        <v>14</v>
      </c>
      <c r="K29" s="7" t="s">
        <v>13</v>
      </c>
      <c r="L29" s="7">
        <v>1800.0</v>
      </c>
      <c r="M29" s="7">
        <v>2.0</v>
      </c>
      <c r="N29" s="7">
        <v>3600.0</v>
      </c>
      <c r="O29" s="11">
        <v>45313.0</v>
      </c>
      <c r="P29" s="7" t="s">
        <v>14</v>
      </c>
    </row>
    <row r="30" ht="14.25" customHeight="1">
      <c r="B30" s="5" t="s">
        <v>46</v>
      </c>
      <c r="C30" s="5">
        <v>5500.0</v>
      </c>
      <c r="D30" s="5">
        <v>1.0</v>
      </c>
      <c r="E30" s="5">
        <v>5500.0</v>
      </c>
      <c r="F30" s="6">
        <v>45384.0</v>
      </c>
      <c r="G30" s="7" t="s">
        <v>11</v>
      </c>
      <c r="K30" s="7" t="s">
        <v>57</v>
      </c>
      <c r="L30" s="7">
        <v>3800.0</v>
      </c>
      <c r="M30" s="7">
        <v>1.0</v>
      </c>
      <c r="N30" s="7">
        <v>3800.0</v>
      </c>
      <c r="O30" s="11">
        <v>45328.0</v>
      </c>
      <c r="P30" s="7" t="s">
        <v>8</v>
      </c>
    </row>
    <row r="31" ht="14.25" customHeight="1">
      <c r="B31" s="5" t="s">
        <v>47</v>
      </c>
      <c r="C31" s="5">
        <v>11000.0</v>
      </c>
      <c r="D31" s="5">
        <v>1.0</v>
      </c>
      <c r="E31" s="5">
        <v>11000.0</v>
      </c>
      <c r="F31" s="6">
        <v>45331.0</v>
      </c>
      <c r="G31" s="7" t="s">
        <v>11</v>
      </c>
      <c r="K31" s="7" t="s">
        <v>19</v>
      </c>
      <c r="L31" s="7">
        <v>2000.0</v>
      </c>
      <c r="M31" s="7">
        <v>2.0</v>
      </c>
      <c r="N31" s="7">
        <v>4000.0</v>
      </c>
      <c r="O31" s="11">
        <v>45299.0</v>
      </c>
      <c r="P31" s="7" t="s">
        <v>16</v>
      </c>
    </row>
    <row r="32" ht="14.25" customHeight="1">
      <c r="B32" s="5" t="s">
        <v>48</v>
      </c>
      <c r="C32" s="5">
        <v>9000.0</v>
      </c>
      <c r="D32" s="5">
        <v>1.0</v>
      </c>
      <c r="E32" s="5">
        <v>9000.0</v>
      </c>
      <c r="F32" s="6">
        <v>45375.0</v>
      </c>
      <c r="G32" s="7" t="s">
        <v>8</v>
      </c>
      <c r="K32" s="7" t="s">
        <v>55</v>
      </c>
      <c r="L32" s="7">
        <v>2000.0</v>
      </c>
      <c r="M32" s="7">
        <v>2.0</v>
      </c>
      <c r="N32" s="7">
        <v>4000.0</v>
      </c>
      <c r="O32" s="11">
        <v>45320.0</v>
      </c>
      <c r="P32" s="7" t="s">
        <v>11</v>
      </c>
    </row>
    <row r="33" ht="14.25" customHeight="1">
      <c r="B33" s="5" t="s">
        <v>49</v>
      </c>
      <c r="C33" s="5">
        <v>3200.0</v>
      </c>
      <c r="D33" s="5">
        <v>2.0</v>
      </c>
      <c r="E33" s="5">
        <v>6400.0</v>
      </c>
      <c r="F33" s="6">
        <v>45310.0</v>
      </c>
      <c r="G33" s="7" t="s">
        <v>16</v>
      </c>
      <c r="K33" s="7" t="s">
        <v>43</v>
      </c>
      <c r="L33" s="7">
        <v>2200.0</v>
      </c>
      <c r="M33" s="7">
        <v>2.0</v>
      </c>
      <c r="N33" s="7">
        <v>4400.0</v>
      </c>
      <c r="O33" s="11">
        <v>45365.0</v>
      </c>
      <c r="P33" s="7" t="s">
        <v>11</v>
      </c>
    </row>
    <row r="34" ht="14.25" customHeight="1">
      <c r="B34" s="5" t="s">
        <v>50</v>
      </c>
      <c r="C34" s="5">
        <v>800.0</v>
      </c>
      <c r="D34" s="5">
        <v>2.0</v>
      </c>
      <c r="E34" s="5">
        <v>1600.0</v>
      </c>
      <c r="F34" s="6">
        <v>45344.0</v>
      </c>
      <c r="G34" s="7" t="s">
        <v>14</v>
      </c>
      <c r="K34" s="7" t="s">
        <v>25</v>
      </c>
      <c r="L34" s="7">
        <v>4500.0</v>
      </c>
      <c r="M34" s="7">
        <v>1.0</v>
      </c>
      <c r="N34" s="7">
        <v>4500.0</v>
      </c>
      <c r="O34" s="11">
        <v>45321.0</v>
      </c>
      <c r="P34" s="7" t="s">
        <v>8</v>
      </c>
    </row>
    <row r="35" ht="14.25" customHeight="1">
      <c r="B35" s="5" t="s">
        <v>51</v>
      </c>
      <c r="C35" s="5">
        <v>2700.0</v>
      </c>
      <c r="D35" s="5">
        <v>1.0</v>
      </c>
      <c r="E35" s="5">
        <v>2700.0</v>
      </c>
      <c r="F35" s="6">
        <v>45354.0</v>
      </c>
      <c r="G35" s="7" t="s">
        <v>16</v>
      </c>
      <c r="K35" s="7" t="s">
        <v>28</v>
      </c>
      <c r="L35" s="7">
        <v>2500.0</v>
      </c>
      <c r="M35" s="7">
        <v>2.0</v>
      </c>
      <c r="N35" s="7">
        <v>5000.0</v>
      </c>
      <c r="O35" s="11">
        <v>45371.0</v>
      </c>
      <c r="P35" s="7" t="s">
        <v>16</v>
      </c>
    </row>
    <row r="36" ht="14.25" customHeight="1">
      <c r="B36" s="5" t="s">
        <v>52</v>
      </c>
      <c r="C36" s="5">
        <v>15000.0</v>
      </c>
      <c r="D36" s="5">
        <v>1.0</v>
      </c>
      <c r="E36" s="5">
        <v>15000.0</v>
      </c>
      <c r="F36" s="6">
        <v>45307.0</v>
      </c>
      <c r="G36" s="7" t="s">
        <v>16</v>
      </c>
      <c r="K36" s="7" t="s">
        <v>46</v>
      </c>
      <c r="L36" s="7">
        <v>5500.0</v>
      </c>
      <c r="M36" s="7">
        <v>1.0</v>
      </c>
      <c r="N36" s="7">
        <v>5500.0</v>
      </c>
      <c r="O36" s="11">
        <v>45384.0</v>
      </c>
      <c r="P36" s="7" t="s">
        <v>11</v>
      </c>
    </row>
    <row r="37" ht="14.25" customHeight="1">
      <c r="B37" s="5" t="s">
        <v>53</v>
      </c>
      <c r="C37" s="5">
        <v>8500.0</v>
      </c>
      <c r="D37" s="5">
        <v>1.0</v>
      </c>
      <c r="E37" s="5">
        <v>8500.0</v>
      </c>
      <c r="F37" s="6">
        <v>45336.0</v>
      </c>
      <c r="G37" s="7" t="s">
        <v>16</v>
      </c>
      <c r="K37" s="7" t="s">
        <v>56</v>
      </c>
      <c r="L37" s="7">
        <v>5600.0</v>
      </c>
      <c r="M37" s="7">
        <v>1.0</v>
      </c>
      <c r="N37" s="7">
        <v>5600.0</v>
      </c>
      <c r="O37" s="11">
        <v>45389.0</v>
      </c>
      <c r="P37" s="7" t="s">
        <v>8</v>
      </c>
    </row>
    <row r="38" ht="14.25" customHeight="1">
      <c r="B38" s="5" t="s">
        <v>54</v>
      </c>
      <c r="C38" s="5">
        <v>6800.0</v>
      </c>
      <c r="D38" s="5">
        <v>1.0</v>
      </c>
      <c r="E38" s="5">
        <v>6800.0</v>
      </c>
      <c r="F38" s="6">
        <v>45361.0</v>
      </c>
      <c r="G38" s="7" t="s">
        <v>8</v>
      </c>
      <c r="K38" s="7" t="s">
        <v>27</v>
      </c>
      <c r="L38" s="7">
        <v>5800.0</v>
      </c>
      <c r="M38" s="7">
        <v>1.0</v>
      </c>
      <c r="N38" s="7">
        <v>5800.0</v>
      </c>
      <c r="O38" s="11">
        <v>45334.0</v>
      </c>
      <c r="P38" s="7" t="s">
        <v>16</v>
      </c>
    </row>
    <row r="39" ht="14.25" customHeight="1">
      <c r="B39" s="5" t="s">
        <v>55</v>
      </c>
      <c r="C39" s="5">
        <v>2000.0</v>
      </c>
      <c r="D39" s="5">
        <v>2.0</v>
      </c>
      <c r="E39" s="5">
        <v>4000.0</v>
      </c>
      <c r="F39" s="6">
        <v>45320.0</v>
      </c>
      <c r="G39" s="7" t="s">
        <v>11</v>
      </c>
      <c r="K39" s="7" t="s">
        <v>60</v>
      </c>
      <c r="L39" s="7">
        <v>6200.0</v>
      </c>
      <c r="M39" s="7">
        <v>1.0</v>
      </c>
      <c r="N39" s="7">
        <v>6200.0</v>
      </c>
      <c r="O39" s="11">
        <v>45368.0</v>
      </c>
      <c r="P39" s="7" t="s">
        <v>14</v>
      </c>
    </row>
    <row r="40" ht="14.25" customHeight="1">
      <c r="B40" s="5" t="s">
        <v>56</v>
      </c>
      <c r="C40" s="5">
        <v>5600.0</v>
      </c>
      <c r="D40" s="5">
        <v>1.0</v>
      </c>
      <c r="E40" s="5">
        <v>5600.0</v>
      </c>
      <c r="F40" s="6">
        <v>45389.0</v>
      </c>
      <c r="G40" s="7" t="s">
        <v>8</v>
      </c>
      <c r="K40" s="7" t="s">
        <v>49</v>
      </c>
      <c r="L40" s="7">
        <v>3200.0</v>
      </c>
      <c r="M40" s="7">
        <v>2.0</v>
      </c>
      <c r="N40" s="7">
        <v>6400.0</v>
      </c>
      <c r="O40" s="11">
        <v>45310.0</v>
      </c>
      <c r="P40" s="7" t="s">
        <v>16</v>
      </c>
    </row>
    <row r="41" ht="14.25" customHeight="1">
      <c r="B41" s="5" t="s">
        <v>57</v>
      </c>
      <c r="C41" s="5">
        <v>3800.0</v>
      </c>
      <c r="D41" s="5">
        <v>1.0</v>
      </c>
      <c r="E41" s="5">
        <v>3800.0</v>
      </c>
      <c r="F41" s="6">
        <v>45328.0</v>
      </c>
      <c r="G41" s="7" t="s">
        <v>8</v>
      </c>
      <c r="K41" s="7" t="s">
        <v>54</v>
      </c>
      <c r="L41" s="7">
        <v>6800.0</v>
      </c>
      <c r="M41" s="7">
        <v>1.0</v>
      </c>
      <c r="N41" s="7">
        <v>6800.0</v>
      </c>
      <c r="O41" s="11">
        <v>45361.0</v>
      </c>
      <c r="P41" s="7" t="s">
        <v>8</v>
      </c>
    </row>
    <row r="42" ht="14.25" customHeight="1">
      <c r="B42" s="5" t="s">
        <v>58</v>
      </c>
      <c r="C42" s="5">
        <v>20000.0</v>
      </c>
      <c r="D42" s="5">
        <v>1.0</v>
      </c>
      <c r="E42" s="5">
        <v>20000.0</v>
      </c>
      <c r="F42" s="6">
        <v>45379.0</v>
      </c>
      <c r="G42" s="7" t="s">
        <v>8</v>
      </c>
      <c r="K42" s="7" t="s">
        <v>59</v>
      </c>
      <c r="L42" s="7">
        <v>7000.0</v>
      </c>
      <c r="M42" s="7">
        <v>1.0</v>
      </c>
      <c r="N42" s="7">
        <v>7000.0</v>
      </c>
      <c r="O42" s="11">
        <v>45300.0</v>
      </c>
      <c r="P42" s="7" t="s">
        <v>11</v>
      </c>
    </row>
    <row r="43" ht="14.25" customHeight="1">
      <c r="B43" s="5" t="s">
        <v>59</v>
      </c>
      <c r="C43" s="5">
        <v>7000.0</v>
      </c>
      <c r="D43" s="5">
        <v>1.0</v>
      </c>
      <c r="E43" s="5">
        <v>7000.0</v>
      </c>
      <c r="F43" s="6">
        <v>45300.0</v>
      </c>
      <c r="G43" s="7" t="s">
        <v>11</v>
      </c>
      <c r="K43" s="7" t="s">
        <v>31</v>
      </c>
      <c r="L43" s="7">
        <v>7200.0</v>
      </c>
      <c r="M43" s="7">
        <v>1.0</v>
      </c>
      <c r="N43" s="7">
        <v>7200.0</v>
      </c>
      <c r="O43" s="11">
        <v>45356.0</v>
      </c>
      <c r="P43" s="7" t="s">
        <v>8</v>
      </c>
    </row>
    <row r="44" ht="14.25" customHeight="1">
      <c r="B44" s="5" t="s">
        <v>60</v>
      </c>
      <c r="C44" s="5">
        <v>6200.0</v>
      </c>
      <c r="D44" s="5">
        <v>1.0</v>
      </c>
      <c r="E44" s="5">
        <v>6200.0</v>
      </c>
      <c r="F44" s="6">
        <v>45368.0</v>
      </c>
      <c r="G44" s="7" t="s">
        <v>14</v>
      </c>
      <c r="K44" s="7" t="s">
        <v>41</v>
      </c>
      <c r="L44" s="7">
        <v>8000.0</v>
      </c>
      <c r="M44" s="7">
        <v>1.0</v>
      </c>
      <c r="N44" s="7">
        <v>8000.0</v>
      </c>
      <c r="O44" s="11">
        <v>45327.0</v>
      </c>
      <c r="P44" s="7" t="s">
        <v>16</v>
      </c>
    </row>
    <row r="45" ht="14.25" customHeight="1">
      <c r="K45" s="7" t="s">
        <v>34</v>
      </c>
      <c r="L45" s="7">
        <v>8500.0</v>
      </c>
      <c r="M45" s="7">
        <v>1.0</v>
      </c>
      <c r="N45" s="7">
        <v>8500.0</v>
      </c>
      <c r="O45" s="11">
        <v>45339.0</v>
      </c>
      <c r="P45" s="7" t="s">
        <v>11</v>
      </c>
    </row>
    <row r="46" ht="14.25" customHeight="1">
      <c r="K46" s="7" t="s">
        <v>53</v>
      </c>
      <c r="L46" s="7">
        <v>8500.0</v>
      </c>
      <c r="M46" s="7">
        <v>1.0</v>
      </c>
      <c r="N46" s="7">
        <v>8500.0</v>
      </c>
      <c r="O46" s="11">
        <v>45336.0</v>
      </c>
      <c r="P46" s="7" t="s">
        <v>16</v>
      </c>
    </row>
    <row r="47" ht="14.25" customHeight="1">
      <c r="K47" s="7" t="s">
        <v>38</v>
      </c>
      <c r="L47" s="7">
        <v>9000.0</v>
      </c>
      <c r="M47" s="7">
        <v>1.0</v>
      </c>
      <c r="N47" s="7">
        <v>9000.0</v>
      </c>
      <c r="O47" s="11">
        <v>45302.0</v>
      </c>
      <c r="P47" s="7" t="s">
        <v>14</v>
      </c>
    </row>
    <row r="48" ht="14.25" customHeight="1">
      <c r="K48" s="7" t="s">
        <v>48</v>
      </c>
      <c r="L48" s="7">
        <v>9000.0</v>
      </c>
      <c r="M48" s="7">
        <v>1.0</v>
      </c>
      <c r="N48" s="7">
        <v>9000.0</v>
      </c>
      <c r="O48" s="11">
        <v>45375.0</v>
      </c>
      <c r="P48" s="7" t="s">
        <v>8</v>
      </c>
    </row>
    <row r="49" ht="14.25" customHeight="1">
      <c r="K49" s="7" t="s">
        <v>47</v>
      </c>
      <c r="L49" s="7">
        <v>11000.0</v>
      </c>
      <c r="M49" s="7">
        <v>1.0</v>
      </c>
      <c r="N49" s="7">
        <v>11000.0</v>
      </c>
      <c r="O49" s="11">
        <v>45331.0</v>
      </c>
      <c r="P49" s="7" t="s">
        <v>11</v>
      </c>
    </row>
    <row r="50" ht="14.25" customHeight="1">
      <c r="K50" s="7" t="s">
        <v>37</v>
      </c>
      <c r="L50" s="7">
        <v>12500.0</v>
      </c>
      <c r="M50" s="7">
        <v>1.0</v>
      </c>
      <c r="N50" s="7">
        <v>12500.0</v>
      </c>
      <c r="O50" s="11">
        <v>45391.0</v>
      </c>
      <c r="P50" s="7" t="s">
        <v>11</v>
      </c>
    </row>
    <row r="51" ht="14.25" customHeight="1">
      <c r="K51" s="7" t="s">
        <v>52</v>
      </c>
      <c r="L51" s="7">
        <v>15000.0</v>
      </c>
      <c r="M51" s="7">
        <v>1.0</v>
      </c>
      <c r="N51" s="7">
        <v>15000.0</v>
      </c>
      <c r="O51" s="11">
        <v>45307.0</v>
      </c>
      <c r="P51" s="7" t="s">
        <v>16</v>
      </c>
    </row>
    <row r="52" ht="14.25" customHeight="1">
      <c r="K52" s="7" t="s">
        <v>44</v>
      </c>
      <c r="L52" s="7">
        <v>16000.0</v>
      </c>
      <c r="M52" s="7">
        <v>1.0</v>
      </c>
      <c r="N52" s="7">
        <v>16000.0</v>
      </c>
      <c r="O52" s="11">
        <v>45350.0</v>
      </c>
      <c r="P52" s="7" t="s">
        <v>8</v>
      </c>
    </row>
    <row r="53" ht="14.25" customHeight="1">
      <c r="K53" s="7" t="s">
        <v>58</v>
      </c>
      <c r="L53" s="7">
        <v>20000.0</v>
      </c>
      <c r="M53" s="7">
        <v>1.0</v>
      </c>
      <c r="N53" s="7">
        <v>20000.0</v>
      </c>
      <c r="O53" s="11">
        <v>45379.0</v>
      </c>
      <c r="P53" s="7" t="s">
        <v>8</v>
      </c>
    </row>
    <row r="54" ht="14.25" customHeight="1"/>
    <row r="55" ht="14.25" customHeight="1"/>
    <row r="56" ht="14.25" customHeight="1"/>
    <row r="57" ht="14.25" customHeight="1">
      <c r="K57" s="10" t="s">
        <v>64</v>
      </c>
    </row>
    <row r="58" ht="14.25" customHeight="1">
      <c r="K58" s="10" t="str">
        <f>FORMULATEXT(K60)</f>
        <v>=sort(B2:G44,2,0)</v>
      </c>
    </row>
    <row r="59" ht="14.25" customHeight="1"/>
    <row r="60" ht="14.25" customHeight="1">
      <c r="K60" s="7" t="str">
        <f t="array" ref="K60:P102">sort(B2:G44,2,0)</f>
        <v>Robot Vacuum Cleaner</v>
      </c>
      <c r="L60" s="7">
        <v>20000.0</v>
      </c>
      <c r="M60" s="7">
        <v>1.0</v>
      </c>
      <c r="N60" s="7">
        <v>20000.0</v>
      </c>
      <c r="O60" s="11">
        <v>45379.0</v>
      </c>
      <c r="P60" s="7" t="s">
        <v>8</v>
      </c>
    </row>
    <row r="61" ht="14.25" customHeight="1">
      <c r="K61" s="7" t="s">
        <v>44</v>
      </c>
      <c r="L61" s="7">
        <v>16000.0</v>
      </c>
      <c r="M61" s="7">
        <v>1.0</v>
      </c>
      <c r="N61" s="7">
        <v>16000.0</v>
      </c>
      <c r="O61" s="11">
        <v>45350.0</v>
      </c>
      <c r="P61" s="7" t="s">
        <v>8</v>
      </c>
    </row>
    <row r="62" ht="14.25" customHeight="1">
      <c r="K62" s="7" t="s">
        <v>52</v>
      </c>
      <c r="L62" s="7">
        <v>15000.0</v>
      </c>
      <c r="M62" s="7">
        <v>1.0</v>
      </c>
      <c r="N62" s="7">
        <v>15000.0</v>
      </c>
      <c r="O62" s="11">
        <v>45307.0</v>
      </c>
      <c r="P62" s="7" t="s">
        <v>16</v>
      </c>
    </row>
    <row r="63" ht="14.25" customHeight="1">
      <c r="K63" s="7" t="s">
        <v>37</v>
      </c>
      <c r="L63" s="7">
        <v>12500.0</v>
      </c>
      <c r="M63" s="7">
        <v>1.0</v>
      </c>
      <c r="N63" s="7">
        <v>12500.0</v>
      </c>
      <c r="O63" s="11">
        <v>45391.0</v>
      </c>
      <c r="P63" s="7" t="s">
        <v>11</v>
      </c>
    </row>
    <row r="64" ht="14.25" customHeight="1">
      <c r="K64" s="7" t="s">
        <v>47</v>
      </c>
      <c r="L64" s="7">
        <v>11000.0</v>
      </c>
      <c r="M64" s="7">
        <v>1.0</v>
      </c>
      <c r="N64" s="7">
        <v>11000.0</v>
      </c>
      <c r="O64" s="11">
        <v>45331.0</v>
      </c>
      <c r="P64" s="7" t="s">
        <v>11</v>
      </c>
    </row>
    <row r="65" ht="14.25" customHeight="1">
      <c r="K65" s="7" t="s">
        <v>38</v>
      </c>
      <c r="L65" s="7">
        <v>9000.0</v>
      </c>
      <c r="M65" s="7">
        <v>1.0</v>
      </c>
      <c r="N65" s="7">
        <v>9000.0</v>
      </c>
      <c r="O65" s="11">
        <v>45302.0</v>
      </c>
      <c r="P65" s="7" t="s">
        <v>14</v>
      </c>
    </row>
    <row r="66" ht="14.25" customHeight="1">
      <c r="K66" s="7" t="s">
        <v>48</v>
      </c>
      <c r="L66" s="7">
        <v>9000.0</v>
      </c>
      <c r="M66" s="7">
        <v>1.0</v>
      </c>
      <c r="N66" s="7">
        <v>9000.0</v>
      </c>
      <c r="O66" s="11">
        <v>45375.0</v>
      </c>
      <c r="P66" s="7" t="s">
        <v>8</v>
      </c>
    </row>
    <row r="67" ht="14.25" customHeight="1">
      <c r="K67" s="7" t="s">
        <v>34</v>
      </c>
      <c r="L67" s="7">
        <v>8500.0</v>
      </c>
      <c r="M67" s="7">
        <v>1.0</v>
      </c>
      <c r="N67" s="7">
        <v>8500.0</v>
      </c>
      <c r="O67" s="11">
        <v>45339.0</v>
      </c>
      <c r="P67" s="7" t="s">
        <v>11</v>
      </c>
    </row>
    <row r="68" ht="14.25" customHeight="1">
      <c r="K68" s="7" t="s">
        <v>53</v>
      </c>
      <c r="L68" s="7">
        <v>8500.0</v>
      </c>
      <c r="M68" s="7">
        <v>1.0</v>
      </c>
      <c r="N68" s="7">
        <v>8500.0</v>
      </c>
      <c r="O68" s="11">
        <v>45336.0</v>
      </c>
      <c r="P68" s="7" t="s">
        <v>16</v>
      </c>
    </row>
    <row r="69" ht="14.25" customHeight="1">
      <c r="K69" s="7" t="s">
        <v>41</v>
      </c>
      <c r="L69" s="7">
        <v>8000.0</v>
      </c>
      <c r="M69" s="7">
        <v>1.0</v>
      </c>
      <c r="N69" s="7">
        <v>8000.0</v>
      </c>
      <c r="O69" s="11">
        <v>45327.0</v>
      </c>
      <c r="P69" s="7" t="s">
        <v>16</v>
      </c>
    </row>
    <row r="70" ht="14.25" customHeight="1">
      <c r="K70" s="7" t="s">
        <v>31</v>
      </c>
      <c r="L70" s="7">
        <v>7200.0</v>
      </c>
      <c r="M70" s="7">
        <v>1.0</v>
      </c>
      <c r="N70" s="7">
        <v>7200.0</v>
      </c>
      <c r="O70" s="11">
        <v>45356.0</v>
      </c>
      <c r="P70" s="7" t="s">
        <v>8</v>
      </c>
    </row>
    <row r="71" ht="14.25" customHeight="1">
      <c r="K71" s="7" t="s">
        <v>59</v>
      </c>
      <c r="L71" s="7">
        <v>7000.0</v>
      </c>
      <c r="M71" s="7">
        <v>1.0</v>
      </c>
      <c r="N71" s="7">
        <v>7000.0</v>
      </c>
      <c r="O71" s="11">
        <v>45300.0</v>
      </c>
      <c r="P71" s="7" t="s">
        <v>11</v>
      </c>
    </row>
    <row r="72" ht="14.25" customHeight="1">
      <c r="K72" s="7" t="s">
        <v>54</v>
      </c>
      <c r="L72" s="7">
        <v>6800.0</v>
      </c>
      <c r="M72" s="7">
        <v>1.0</v>
      </c>
      <c r="N72" s="7">
        <v>6800.0</v>
      </c>
      <c r="O72" s="11">
        <v>45361.0</v>
      </c>
      <c r="P72" s="7" t="s">
        <v>8</v>
      </c>
    </row>
    <row r="73" ht="14.25" customHeight="1">
      <c r="K73" s="7" t="s">
        <v>60</v>
      </c>
      <c r="L73" s="7">
        <v>6200.0</v>
      </c>
      <c r="M73" s="7">
        <v>1.0</v>
      </c>
      <c r="N73" s="7">
        <v>6200.0</v>
      </c>
      <c r="O73" s="11">
        <v>45368.0</v>
      </c>
      <c r="P73" s="7" t="s">
        <v>14</v>
      </c>
    </row>
    <row r="74" ht="14.25" customHeight="1">
      <c r="K74" s="7" t="s">
        <v>27</v>
      </c>
      <c r="L74" s="7">
        <v>5800.0</v>
      </c>
      <c r="M74" s="7">
        <v>1.0</v>
      </c>
      <c r="N74" s="7">
        <v>5800.0</v>
      </c>
      <c r="O74" s="11">
        <v>45334.0</v>
      </c>
      <c r="P74" s="7" t="s">
        <v>16</v>
      </c>
    </row>
    <row r="75" ht="14.25" customHeight="1">
      <c r="K75" s="7" t="s">
        <v>56</v>
      </c>
      <c r="L75" s="7">
        <v>5600.0</v>
      </c>
      <c r="M75" s="7">
        <v>1.0</v>
      </c>
      <c r="N75" s="7">
        <v>5600.0</v>
      </c>
      <c r="O75" s="11">
        <v>45389.0</v>
      </c>
      <c r="P75" s="7" t="s">
        <v>8</v>
      </c>
    </row>
    <row r="76" ht="14.25" customHeight="1">
      <c r="K76" s="7" t="s">
        <v>46</v>
      </c>
      <c r="L76" s="7">
        <v>5500.0</v>
      </c>
      <c r="M76" s="7">
        <v>1.0</v>
      </c>
      <c r="N76" s="7">
        <v>5500.0</v>
      </c>
      <c r="O76" s="11">
        <v>45384.0</v>
      </c>
      <c r="P76" s="7" t="s">
        <v>11</v>
      </c>
    </row>
    <row r="77" ht="14.25" customHeight="1">
      <c r="K77" s="7" t="s">
        <v>25</v>
      </c>
      <c r="L77" s="7">
        <v>4500.0</v>
      </c>
      <c r="M77" s="7">
        <v>1.0</v>
      </c>
      <c r="N77" s="7">
        <v>4500.0</v>
      </c>
      <c r="O77" s="11">
        <v>45321.0</v>
      </c>
      <c r="P77" s="7" t="s">
        <v>8</v>
      </c>
    </row>
    <row r="78" ht="14.25" customHeight="1">
      <c r="K78" s="7" t="s">
        <v>57</v>
      </c>
      <c r="L78" s="7">
        <v>3800.0</v>
      </c>
      <c r="M78" s="7">
        <v>1.0</v>
      </c>
      <c r="N78" s="7">
        <v>3800.0</v>
      </c>
      <c r="O78" s="11">
        <v>45328.0</v>
      </c>
      <c r="P78" s="7" t="s">
        <v>8</v>
      </c>
    </row>
    <row r="79" ht="14.25" customHeight="1">
      <c r="K79" s="7" t="s">
        <v>24</v>
      </c>
      <c r="L79" s="7">
        <v>3500.0</v>
      </c>
      <c r="M79" s="7">
        <v>1.0</v>
      </c>
      <c r="N79" s="7">
        <v>3500.0</v>
      </c>
      <c r="O79" s="11">
        <v>45383.0</v>
      </c>
      <c r="P79" s="7" t="s">
        <v>11</v>
      </c>
    </row>
    <row r="80" ht="14.25" customHeight="1">
      <c r="K80" s="7" t="s">
        <v>35</v>
      </c>
      <c r="L80" s="7">
        <v>3200.0</v>
      </c>
      <c r="M80" s="7">
        <v>1.0</v>
      </c>
      <c r="N80" s="7">
        <v>3200.0</v>
      </c>
      <c r="O80" s="11">
        <v>45380.0</v>
      </c>
      <c r="P80" s="7" t="s">
        <v>11</v>
      </c>
    </row>
    <row r="81" ht="14.25" customHeight="1">
      <c r="K81" s="7" t="s">
        <v>49</v>
      </c>
      <c r="L81" s="7">
        <v>3200.0</v>
      </c>
      <c r="M81" s="7">
        <v>2.0</v>
      </c>
      <c r="N81" s="7">
        <v>6400.0</v>
      </c>
      <c r="O81" s="11">
        <v>45310.0</v>
      </c>
      <c r="P81" s="7" t="s">
        <v>16</v>
      </c>
    </row>
    <row r="82" ht="14.25" customHeight="1">
      <c r="K82" s="7" t="s">
        <v>51</v>
      </c>
      <c r="L82" s="7">
        <v>2700.0</v>
      </c>
      <c r="M82" s="7">
        <v>1.0</v>
      </c>
      <c r="N82" s="7">
        <v>2700.0</v>
      </c>
      <c r="O82" s="11">
        <v>45354.0</v>
      </c>
      <c r="P82" s="7" t="s">
        <v>16</v>
      </c>
    </row>
    <row r="83" ht="14.25" customHeight="1">
      <c r="K83" s="7" t="s">
        <v>28</v>
      </c>
      <c r="L83" s="7">
        <v>2500.0</v>
      </c>
      <c r="M83" s="7">
        <v>2.0</v>
      </c>
      <c r="N83" s="7">
        <v>5000.0</v>
      </c>
      <c r="O83" s="11">
        <v>45371.0</v>
      </c>
      <c r="P83" s="7" t="s">
        <v>16</v>
      </c>
    </row>
    <row r="84" ht="14.25" customHeight="1">
      <c r="K84" s="7" t="s">
        <v>43</v>
      </c>
      <c r="L84" s="7">
        <v>2200.0</v>
      </c>
      <c r="M84" s="7">
        <v>2.0</v>
      </c>
      <c r="N84" s="7">
        <v>4400.0</v>
      </c>
      <c r="O84" s="11">
        <v>45365.0</v>
      </c>
      <c r="P84" s="7" t="s">
        <v>11</v>
      </c>
    </row>
    <row r="85" ht="14.25" customHeight="1">
      <c r="K85" s="7" t="s">
        <v>19</v>
      </c>
      <c r="L85" s="7">
        <v>2000.0</v>
      </c>
      <c r="M85" s="7">
        <v>2.0</v>
      </c>
      <c r="N85" s="7">
        <v>4000.0</v>
      </c>
      <c r="O85" s="11">
        <v>45299.0</v>
      </c>
      <c r="P85" s="7" t="s">
        <v>16</v>
      </c>
    </row>
    <row r="86" ht="14.25" customHeight="1">
      <c r="K86" s="7" t="s">
        <v>55</v>
      </c>
      <c r="L86" s="7">
        <v>2000.0</v>
      </c>
      <c r="M86" s="7">
        <v>2.0</v>
      </c>
      <c r="N86" s="7">
        <v>4000.0</v>
      </c>
      <c r="O86" s="11">
        <v>45320.0</v>
      </c>
      <c r="P86" s="7" t="s">
        <v>11</v>
      </c>
    </row>
    <row r="87" ht="14.25" customHeight="1">
      <c r="K87" s="7" t="s">
        <v>13</v>
      </c>
      <c r="L87" s="7">
        <v>1800.0</v>
      </c>
      <c r="M87" s="7">
        <v>2.0</v>
      </c>
      <c r="N87" s="7">
        <v>3600.0</v>
      </c>
      <c r="O87" s="11">
        <v>45313.0</v>
      </c>
      <c r="P87" s="7" t="s">
        <v>14</v>
      </c>
    </row>
    <row r="88" ht="14.25" customHeight="1">
      <c r="K88" s="7" t="s">
        <v>40</v>
      </c>
      <c r="L88" s="7">
        <v>1700.0</v>
      </c>
      <c r="M88" s="7">
        <v>1.0</v>
      </c>
      <c r="N88" s="7">
        <v>1700.0</v>
      </c>
      <c r="O88" s="11">
        <v>45359.0</v>
      </c>
      <c r="P88" s="7" t="s">
        <v>14</v>
      </c>
    </row>
    <row r="89" ht="14.25" customHeight="1">
      <c r="K89" s="7" t="s">
        <v>32</v>
      </c>
      <c r="L89" s="7">
        <v>1500.0</v>
      </c>
      <c r="M89" s="7">
        <v>2.0</v>
      </c>
      <c r="N89" s="7">
        <v>3000.0</v>
      </c>
      <c r="O89" s="11">
        <v>45347.0</v>
      </c>
      <c r="P89" s="7" t="s">
        <v>11</v>
      </c>
    </row>
    <row r="90" ht="14.25" customHeight="1">
      <c r="K90" s="7" t="s">
        <v>10</v>
      </c>
      <c r="L90" s="7">
        <v>1200.0</v>
      </c>
      <c r="M90" s="7">
        <v>1.0</v>
      </c>
      <c r="N90" s="7">
        <v>1200.0</v>
      </c>
      <c r="O90" s="11">
        <v>45332.0</v>
      </c>
      <c r="P90" s="7" t="s">
        <v>11</v>
      </c>
    </row>
    <row r="91" ht="14.25" customHeight="1">
      <c r="K91" s="7" t="s">
        <v>22</v>
      </c>
      <c r="L91" s="7">
        <v>1200.0</v>
      </c>
      <c r="M91" s="7">
        <v>2.0</v>
      </c>
      <c r="N91" s="7">
        <v>2400.0</v>
      </c>
      <c r="O91" s="11">
        <v>45349.0</v>
      </c>
      <c r="P91" s="7" t="s">
        <v>14</v>
      </c>
    </row>
    <row r="92" ht="14.25" customHeight="1">
      <c r="K92" s="7" t="s">
        <v>30</v>
      </c>
      <c r="L92" s="7">
        <v>1200.0</v>
      </c>
      <c r="M92" s="7">
        <v>2.0</v>
      </c>
      <c r="N92" s="7">
        <v>2400.0</v>
      </c>
      <c r="O92" s="11">
        <v>45305.0</v>
      </c>
      <c r="P92" s="7" t="s">
        <v>8</v>
      </c>
    </row>
    <row r="93" ht="14.25" customHeight="1">
      <c r="K93" s="7" t="s">
        <v>36</v>
      </c>
      <c r="L93" s="7">
        <v>900.0</v>
      </c>
      <c r="M93" s="7">
        <v>3.0</v>
      </c>
      <c r="N93" s="7">
        <v>2700.0</v>
      </c>
      <c r="O93" s="11">
        <v>45317.0</v>
      </c>
      <c r="P93" s="7" t="s">
        <v>11</v>
      </c>
    </row>
    <row r="94" ht="14.25" customHeight="1">
      <c r="K94" s="7" t="s">
        <v>50</v>
      </c>
      <c r="L94" s="7">
        <v>800.0</v>
      </c>
      <c r="M94" s="7">
        <v>2.0</v>
      </c>
      <c r="N94" s="7">
        <v>1600.0</v>
      </c>
      <c r="O94" s="11">
        <v>45344.0</v>
      </c>
      <c r="P94" s="7" t="s">
        <v>14</v>
      </c>
    </row>
    <row r="95" ht="14.25" customHeight="1">
      <c r="K95" s="7" t="s">
        <v>18</v>
      </c>
      <c r="L95" s="7">
        <v>750.0</v>
      </c>
      <c r="M95" s="7">
        <v>1.0</v>
      </c>
      <c r="N95" s="7">
        <v>750.0</v>
      </c>
      <c r="O95" s="11">
        <v>45337.0</v>
      </c>
      <c r="P95" s="7" t="s">
        <v>8</v>
      </c>
    </row>
    <row r="96" ht="14.25" customHeight="1">
      <c r="K96" s="7" t="s">
        <v>42</v>
      </c>
      <c r="L96" s="7">
        <v>700.0</v>
      </c>
      <c r="M96" s="7">
        <v>2.0</v>
      </c>
      <c r="N96" s="7">
        <v>1400.0</v>
      </c>
      <c r="O96" s="11">
        <v>45312.0</v>
      </c>
      <c r="P96" s="7" t="s">
        <v>11</v>
      </c>
    </row>
    <row r="97" ht="14.25" customHeight="1">
      <c r="K97" s="7" t="s">
        <v>15</v>
      </c>
      <c r="L97" s="7">
        <v>600.0</v>
      </c>
      <c r="M97" s="7">
        <v>3.0</v>
      </c>
      <c r="N97" s="7">
        <v>1800.0</v>
      </c>
      <c r="O97" s="11">
        <v>45353.0</v>
      </c>
      <c r="P97" s="7" t="s">
        <v>16</v>
      </c>
    </row>
    <row r="98" ht="14.25" customHeight="1">
      <c r="K98" s="7" t="s">
        <v>45</v>
      </c>
      <c r="L98" s="7">
        <v>600.0</v>
      </c>
      <c r="M98" s="7">
        <v>3.0</v>
      </c>
      <c r="N98" s="7">
        <v>1800.0</v>
      </c>
      <c r="O98" s="11">
        <v>45298.0</v>
      </c>
      <c r="P98" s="7" t="s">
        <v>14</v>
      </c>
    </row>
    <row r="99" ht="14.25" customHeight="1">
      <c r="K99" s="7" t="s">
        <v>21</v>
      </c>
      <c r="L99" s="7">
        <v>500.0</v>
      </c>
      <c r="M99" s="7">
        <v>3.0</v>
      </c>
      <c r="N99" s="7">
        <v>1500.0</v>
      </c>
      <c r="O99" s="11">
        <v>45369.0</v>
      </c>
      <c r="P99" s="7" t="s">
        <v>14</v>
      </c>
    </row>
    <row r="100" ht="14.25" customHeight="1">
      <c r="K100" s="7" t="s">
        <v>7</v>
      </c>
      <c r="L100" s="7">
        <v>450.0</v>
      </c>
      <c r="M100" s="7">
        <v>2.0</v>
      </c>
      <c r="N100" s="7">
        <v>900.0</v>
      </c>
      <c r="O100" s="11">
        <v>45296.0</v>
      </c>
      <c r="P100" s="7" t="s">
        <v>8</v>
      </c>
    </row>
    <row r="101" ht="14.25" customHeight="1">
      <c r="K101" s="7" t="s">
        <v>39</v>
      </c>
      <c r="L101" s="7">
        <v>300.0</v>
      </c>
      <c r="M101" s="7">
        <v>4.0</v>
      </c>
      <c r="N101" s="7">
        <v>1200.0</v>
      </c>
      <c r="O101" s="11">
        <v>45342.0</v>
      </c>
      <c r="P101" s="7" t="s">
        <v>8</v>
      </c>
    </row>
    <row r="102" ht="14.25" customHeight="1">
      <c r="K102" s="7" t="s">
        <v>33</v>
      </c>
      <c r="L102" s="7">
        <v>150.0</v>
      </c>
      <c r="M102" s="7">
        <v>5.0</v>
      </c>
      <c r="N102" s="7">
        <v>750.0</v>
      </c>
      <c r="O102" s="11">
        <v>45388.0</v>
      </c>
      <c r="P102" s="7" t="s">
        <v>14</v>
      </c>
    </row>
    <row r="103" ht="14.25" customHeight="1"/>
    <row r="104" ht="14.25" customHeight="1"/>
    <row r="105" ht="14.25" customHeight="1"/>
    <row r="106" ht="14.25" customHeight="1">
      <c r="K106" s="7" t="s">
        <v>65</v>
      </c>
    </row>
    <row r="107" ht="14.25" customHeight="1">
      <c r="K107" s="10" t="str">
        <f>FORMULATEXT(K109)</f>
        <v>=Sort(B2:G44,6,1,4,0)</v>
      </c>
    </row>
    <row r="108" ht="14.25" customHeight="1"/>
    <row r="109" ht="14.25" customHeight="1">
      <c r="K109" s="7" t="str">
        <f t="array" ref="K109:P151">Sort(B2:G44,6,1,4,0)</f>
        <v>Robot Vacuum Cleaner</v>
      </c>
      <c r="L109" s="7">
        <v>20000.0</v>
      </c>
      <c r="M109" s="7">
        <v>1.0</v>
      </c>
      <c r="N109" s="7">
        <v>20000.0</v>
      </c>
      <c r="O109" s="11">
        <v>45379.0</v>
      </c>
      <c r="P109" s="7" t="s">
        <v>8</v>
      </c>
    </row>
    <row r="110" ht="14.25" customHeight="1">
      <c r="K110" s="7" t="s">
        <v>44</v>
      </c>
      <c r="L110" s="7">
        <v>16000.0</v>
      </c>
      <c r="M110" s="7">
        <v>1.0</v>
      </c>
      <c r="N110" s="7">
        <v>16000.0</v>
      </c>
      <c r="O110" s="11">
        <v>45350.0</v>
      </c>
      <c r="P110" s="7" t="s">
        <v>8</v>
      </c>
    </row>
    <row r="111" ht="14.25" customHeight="1">
      <c r="K111" s="7" t="s">
        <v>48</v>
      </c>
      <c r="L111" s="7">
        <v>9000.0</v>
      </c>
      <c r="M111" s="7">
        <v>1.0</v>
      </c>
      <c r="N111" s="7">
        <v>9000.0</v>
      </c>
      <c r="O111" s="11">
        <v>45375.0</v>
      </c>
      <c r="P111" s="7" t="s">
        <v>8</v>
      </c>
    </row>
    <row r="112" ht="14.25" customHeight="1">
      <c r="K112" s="7" t="s">
        <v>31</v>
      </c>
      <c r="L112" s="7">
        <v>7200.0</v>
      </c>
      <c r="M112" s="7">
        <v>1.0</v>
      </c>
      <c r="N112" s="7">
        <v>7200.0</v>
      </c>
      <c r="O112" s="11">
        <v>45356.0</v>
      </c>
      <c r="P112" s="7" t="s">
        <v>8</v>
      </c>
    </row>
    <row r="113" ht="14.25" customHeight="1">
      <c r="K113" s="7" t="s">
        <v>54</v>
      </c>
      <c r="L113" s="7">
        <v>6800.0</v>
      </c>
      <c r="M113" s="7">
        <v>1.0</v>
      </c>
      <c r="N113" s="7">
        <v>6800.0</v>
      </c>
      <c r="O113" s="11">
        <v>45361.0</v>
      </c>
      <c r="P113" s="7" t="s">
        <v>8</v>
      </c>
    </row>
    <row r="114" ht="14.25" customHeight="1">
      <c r="K114" s="7" t="s">
        <v>56</v>
      </c>
      <c r="L114" s="7">
        <v>5600.0</v>
      </c>
      <c r="M114" s="7">
        <v>1.0</v>
      </c>
      <c r="N114" s="7">
        <v>5600.0</v>
      </c>
      <c r="O114" s="11">
        <v>45389.0</v>
      </c>
      <c r="P114" s="7" t="s">
        <v>8</v>
      </c>
    </row>
    <row r="115" ht="14.25" customHeight="1">
      <c r="K115" s="7" t="s">
        <v>25</v>
      </c>
      <c r="L115" s="7">
        <v>4500.0</v>
      </c>
      <c r="M115" s="7">
        <v>1.0</v>
      </c>
      <c r="N115" s="7">
        <v>4500.0</v>
      </c>
      <c r="O115" s="11">
        <v>45321.0</v>
      </c>
      <c r="P115" s="7" t="s">
        <v>8</v>
      </c>
    </row>
    <row r="116" ht="14.25" customHeight="1">
      <c r="K116" s="7" t="s">
        <v>57</v>
      </c>
      <c r="L116" s="7">
        <v>3800.0</v>
      </c>
      <c r="M116" s="7">
        <v>1.0</v>
      </c>
      <c r="N116" s="7">
        <v>3800.0</v>
      </c>
      <c r="O116" s="11">
        <v>45328.0</v>
      </c>
      <c r="P116" s="7" t="s">
        <v>8</v>
      </c>
    </row>
    <row r="117" ht="14.25" customHeight="1">
      <c r="K117" s="7" t="s">
        <v>30</v>
      </c>
      <c r="L117" s="7">
        <v>1200.0</v>
      </c>
      <c r="M117" s="7">
        <v>2.0</v>
      </c>
      <c r="N117" s="7">
        <v>2400.0</v>
      </c>
      <c r="O117" s="11">
        <v>45305.0</v>
      </c>
      <c r="P117" s="7" t="s">
        <v>8</v>
      </c>
    </row>
    <row r="118" ht="14.25" customHeight="1">
      <c r="K118" s="7" t="s">
        <v>39</v>
      </c>
      <c r="L118" s="7">
        <v>300.0</v>
      </c>
      <c r="M118" s="7">
        <v>4.0</v>
      </c>
      <c r="N118" s="7">
        <v>1200.0</v>
      </c>
      <c r="O118" s="11">
        <v>45342.0</v>
      </c>
      <c r="P118" s="7" t="s">
        <v>8</v>
      </c>
    </row>
    <row r="119" ht="14.25" customHeight="1">
      <c r="K119" s="7" t="s">
        <v>7</v>
      </c>
      <c r="L119" s="7">
        <v>450.0</v>
      </c>
      <c r="M119" s="7">
        <v>2.0</v>
      </c>
      <c r="N119" s="7">
        <v>900.0</v>
      </c>
      <c r="O119" s="11">
        <v>45296.0</v>
      </c>
      <c r="P119" s="7" t="s">
        <v>8</v>
      </c>
    </row>
    <row r="120" ht="14.25" customHeight="1">
      <c r="K120" s="7" t="s">
        <v>18</v>
      </c>
      <c r="L120" s="7">
        <v>750.0</v>
      </c>
      <c r="M120" s="7">
        <v>1.0</v>
      </c>
      <c r="N120" s="7">
        <v>750.0</v>
      </c>
      <c r="O120" s="11">
        <v>45337.0</v>
      </c>
      <c r="P120" s="7" t="s">
        <v>8</v>
      </c>
    </row>
    <row r="121" ht="14.25" customHeight="1">
      <c r="K121" s="7" t="s">
        <v>37</v>
      </c>
      <c r="L121" s="7">
        <v>12500.0</v>
      </c>
      <c r="M121" s="7">
        <v>1.0</v>
      </c>
      <c r="N121" s="7">
        <v>12500.0</v>
      </c>
      <c r="O121" s="11">
        <v>45391.0</v>
      </c>
      <c r="P121" s="7" t="s">
        <v>11</v>
      </c>
    </row>
    <row r="122" ht="14.25" customHeight="1">
      <c r="K122" s="7" t="s">
        <v>47</v>
      </c>
      <c r="L122" s="7">
        <v>11000.0</v>
      </c>
      <c r="M122" s="7">
        <v>1.0</v>
      </c>
      <c r="N122" s="7">
        <v>11000.0</v>
      </c>
      <c r="O122" s="11">
        <v>45331.0</v>
      </c>
      <c r="P122" s="7" t="s">
        <v>11</v>
      </c>
    </row>
    <row r="123" ht="14.25" customHeight="1">
      <c r="K123" s="7" t="s">
        <v>34</v>
      </c>
      <c r="L123" s="7">
        <v>8500.0</v>
      </c>
      <c r="M123" s="7">
        <v>1.0</v>
      </c>
      <c r="N123" s="7">
        <v>8500.0</v>
      </c>
      <c r="O123" s="11">
        <v>45339.0</v>
      </c>
      <c r="P123" s="7" t="s">
        <v>11</v>
      </c>
    </row>
    <row r="124" ht="14.25" customHeight="1">
      <c r="K124" s="7" t="s">
        <v>59</v>
      </c>
      <c r="L124" s="7">
        <v>7000.0</v>
      </c>
      <c r="M124" s="7">
        <v>1.0</v>
      </c>
      <c r="N124" s="7">
        <v>7000.0</v>
      </c>
      <c r="O124" s="11">
        <v>45300.0</v>
      </c>
      <c r="P124" s="7" t="s">
        <v>11</v>
      </c>
    </row>
    <row r="125" ht="14.25" customHeight="1">
      <c r="K125" s="7" t="s">
        <v>46</v>
      </c>
      <c r="L125" s="7">
        <v>5500.0</v>
      </c>
      <c r="M125" s="7">
        <v>1.0</v>
      </c>
      <c r="N125" s="7">
        <v>5500.0</v>
      </c>
      <c r="O125" s="11">
        <v>45384.0</v>
      </c>
      <c r="P125" s="7" t="s">
        <v>11</v>
      </c>
    </row>
    <row r="126" ht="14.25" customHeight="1">
      <c r="K126" s="7" t="s">
        <v>43</v>
      </c>
      <c r="L126" s="7">
        <v>2200.0</v>
      </c>
      <c r="M126" s="7">
        <v>2.0</v>
      </c>
      <c r="N126" s="7">
        <v>4400.0</v>
      </c>
      <c r="O126" s="11">
        <v>45365.0</v>
      </c>
      <c r="P126" s="7" t="s">
        <v>11</v>
      </c>
    </row>
    <row r="127" ht="14.25" customHeight="1">
      <c r="K127" s="7" t="s">
        <v>55</v>
      </c>
      <c r="L127" s="7">
        <v>2000.0</v>
      </c>
      <c r="M127" s="7">
        <v>2.0</v>
      </c>
      <c r="N127" s="7">
        <v>4000.0</v>
      </c>
      <c r="O127" s="11">
        <v>45320.0</v>
      </c>
      <c r="P127" s="7" t="s">
        <v>11</v>
      </c>
    </row>
    <row r="128" ht="14.25" customHeight="1">
      <c r="K128" s="7" t="s">
        <v>24</v>
      </c>
      <c r="L128" s="7">
        <v>3500.0</v>
      </c>
      <c r="M128" s="7">
        <v>1.0</v>
      </c>
      <c r="N128" s="7">
        <v>3500.0</v>
      </c>
      <c r="O128" s="11">
        <v>45383.0</v>
      </c>
      <c r="P128" s="7" t="s">
        <v>11</v>
      </c>
    </row>
    <row r="129" ht="14.25" customHeight="1">
      <c r="K129" s="7" t="s">
        <v>35</v>
      </c>
      <c r="L129" s="7">
        <v>3200.0</v>
      </c>
      <c r="M129" s="7">
        <v>1.0</v>
      </c>
      <c r="N129" s="7">
        <v>3200.0</v>
      </c>
      <c r="O129" s="11">
        <v>45380.0</v>
      </c>
      <c r="P129" s="7" t="s">
        <v>11</v>
      </c>
    </row>
    <row r="130" ht="14.25" customHeight="1">
      <c r="K130" s="7" t="s">
        <v>32</v>
      </c>
      <c r="L130" s="7">
        <v>1500.0</v>
      </c>
      <c r="M130" s="7">
        <v>2.0</v>
      </c>
      <c r="N130" s="7">
        <v>3000.0</v>
      </c>
      <c r="O130" s="11">
        <v>45347.0</v>
      </c>
      <c r="P130" s="7" t="s">
        <v>11</v>
      </c>
    </row>
    <row r="131" ht="14.25" customHeight="1">
      <c r="K131" s="7" t="s">
        <v>36</v>
      </c>
      <c r="L131" s="7">
        <v>900.0</v>
      </c>
      <c r="M131" s="7">
        <v>3.0</v>
      </c>
      <c r="N131" s="7">
        <v>2700.0</v>
      </c>
      <c r="O131" s="11">
        <v>45317.0</v>
      </c>
      <c r="P131" s="7" t="s">
        <v>11</v>
      </c>
    </row>
    <row r="132" ht="14.25" customHeight="1">
      <c r="K132" s="7" t="s">
        <v>42</v>
      </c>
      <c r="L132" s="7">
        <v>700.0</v>
      </c>
      <c r="M132" s="7">
        <v>2.0</v>
      </c>
      <c r="N132" s="7">
        <v>1400.0</v>
      </c>
      <c r="O132" s="11">
        <v>45312.0</v>
      </c>
      <c r="P132" s="7" t="s">
        <v>11</v>
      </c>
    </row>
    <row r="133" ht="14.25" customHeight="1">
      <c r="K133" s="7" t="s">
        <v>10</v>
      </c>
      <c r="L133" s="7">
        <v>1200.0</v>
      </c>
      <c r="M133" s="7">
        <v>1.0</v>
      </c>
      <c r="N133" s="7">
        <v>1200.0</v>
      </c>
      <c r="O133" s="11">
        <v>45332.0</v>
      </c>
      <c r="P133" s="7" t="s">
        <v>11</v>
      </c>
    </row>
    <row r="134" ht="14.25" customHeight="1">
      <c r="K134" s="7" t="s">
        <v>52</v>
      </c>
      <c r="L134" s="7">
        <v>15000.0</v>
      </c>
      <c r="M134" s="7">
        <v>1.0</v>
      </c>
      <c r="N134" s="7">
        <v>15000.0</v>
      </c>
      <c r="O134" s="11">
        <v>45307.0</v>
      </c>
      <c r="P134" s="7" t="s">
        <v>16</v>
      </c>
    </row>
    <row r="135" ht="14.25" customHeight="1">
      <c r="K135" s="7" t="s">
        <v>53</v>
      </c>
      <c r="L135" s="7">
        <v>8500.0</v>
      </c>
      <c r="M135" s="7">
        <v>1.0</v>
      </c>
      <c r="N135" s="7">
        <v>8500.0</v>
      </c>
      <c r="O135" s="11">
        <v>45336.0</v>
      </c>
      <c r="P135" s="7" t="s">
        <v>16</v>
      </c>
    </row>
    <row r="136" ht="14.25" customHeight="1">
      <c r="K136" s="7" t="s">
        <v>41</v>
      </c>
      <c r="L136" s="7">
        <v>8000.0</v>
      </c>
      <c r="M136" s="7">
        <v>1.0</v>
      </c>
      <c r="N136" s="7">
        <v>8000.0</v>
      </c>
      <c r="O136" s="11">
        <v>45327.0</v>
      </c>
      <c r="P136" s="7" t="s">
        <v>16</v>
      </c>
    </row>
    <row r="137" ht="14.25" customHeight="1">
      <c r="K137" s="7" t="s">
        <v>49</v>
      </c>
      <c r="L137" s="7">
        <v>3200.0</v>
      </c>
      <c r="M137" s="7">
        <v>2.0</v>
      </c>
      <c r="N137" s="7">
        <v>6400.0</v>
      </c>
      <c r="O137" s="11">
        <v>45310.0</v>
      </c>
      <c r="P137" s="7" t="s">
        <v>16</v>
      </c>
    </row>
    <row r="138" ht="14.25" customHeight="1">
      <c r="K138" s="7" t="s">
        <v>27</v>
      </c>
      <c r="L138" s="7">
        <v>5800.0</v>
      </c>
      <c r="M138" s="7">
        <v>1.0</v>
      </c>
      <c r="N138" s="7">
        <v>5800.0</v>
      </c>
      <c r="O138" s="11">
        <v>45334.0</v>
      </c>
      <c r="P138" s="7" t="s">
        <v>16</v>
      </c>
    </row>
    <row r="139" ht="14.25" customHeight="1">
      <c r="K139" s="7" t="s">
        <v>28</v>
      </c>
      <c r="L139" s="7">
        <v>2500.0</v>
      </c>
      <c r="M139" s="7">
        <v>2.0</v>
      </c>
      <c r="N139" s="7">
        <v>5000.0</v>
      </c>
      <c r="O139" s="11">
        <v>45371.0</v>
      </c>
      <c r="P139" s="7" t="s">
        <v>16</v>
      </c>
    </row>
    <row r="140" ht="14.25" customHeight="1">
      <c r="K140" s="7" t="s">
        <v>19</v>
      </c>
      <c r="L140" s="7">
        <v>2000.0</v>
      </c>
      <c r="M140" s="7">
        <v>2.0</v>
      </c>
      <c r="N140" s="7">
        <v>4000.0</v>
      </c>
      <c r="O140" s="11">
        <v>45299.0</v>
      </c>
      <c r="P140" s="7" t="s">
        <v>16</v>
      </c>
    </row>
    <row r="141" ht="14.25" customHeight="1">
      <c r="K141" s="7" t="s">
        <v>51</v>
      </c>
      <c r="L141" s="7">
        <v>2700.0</v>
      </c>
      <c r="M141" s="7">
        <v>1.0</v>
      </c>
      <c r="N141" s="7">
        <v>2700.0</v>
      </c>
      <c r="O141" s="11">
        <v>45354.0</v>
      </c>
      <c r="P141" s="7" t="s">
        <v>16</v>
      </c>
    </row>
    <row r="142" ht="14.25" customHeight="1">
      <c r="K142" s="7" t="s">
        <v>15</v>
      </c>
      <c r="L142" s="7">
        <v>600.0</v>
      </c>
      <c r="M142" s="7">
        <v>3.0</v>
      </c>
      <c r="N142" s="7">
        <v>1800.0</v>
      </c>
      <c r="O142" s="11">
        <v>45353.0</v>
      </c>
      <c r="P142" s="7" t="s">
        <v>16</v>
      </c>
    </row>
    <row r="143" ht="14.25" customHeight="1">
      <c r="K143" s="7" t="s">
        <v>38</v>
      </c>
      <c r="L143" s="7">
        <v>9000.0</v>
      </c>
      <c r="M143" s="7">
        <v>1.0</v>
      </c>
      <c r="N143" s="7">
        <v>9000.0</v>
      </c>
      <c r="O143" s="11">
        <v>45302.0</v>
      </c>
      <c r="P143" s="7" t="s">
        <v>14</v>
      </c>
    </row>
    <row r="144" ht="14.25" customHeight="1">
      <c r="K144" s="7" t="s">
        <v>60</v>
      </c>
      <c r="L144" s="7">
        <v>6200.0</v>
      </c>
      <c r="M144" s="7">
        <v>1.0</v>
      </c>
      <c r="N144" s="7">
        <v>6200.0</v>
      </c>
      <c r="O144" s="11">
        <v>45368.0</v>
      </c>
      <c r="P144" s="7" t="s">
        <v>14</v>
      </c>
    </row>
    <row r="145" ht="14.25" customHeight="1">
      <c r="K145" s="7" t="s">
        <v>13</v>
      </c>
      <c r="L145" s="7">
        <v>1800.0</v>
      </c>
      <c r="M145" s="7">
        <v>2.0</v>
      </c>
      <c r="N145" s="7">
        <v>3600.0</v>
      </c>
      <c r="O145" s="11">
        <v>45313.0</v>
      </c>
      <c r="P145" s="7" t="s">
        <v>14</v>
      </c>
    </row>
    <row r="146" ht="14.25" customHeight="1">
      <c r="K146" s="7" t="s">
        <v>22</v>
      </c>
      <c r="L146" s="7">
        <v>1200.0</v>
      </c>
      <c r="M146" s="7">
        <v>2.0</v>
      </c>
      <c r="N146" s="7">
        <v>2400.0</v>
      </c>
      <c r="O146" s="11">
        <v>45349.0</v>
      </c>
      <c r="P146" s="7" t="s">
        <v>14</v>
      </c>
    </row>
    <row r="147" ht="14.25" customHeight="1">
      <c r="K147" s="7" t="s">
        <v>45</v>
      </c>
      <c r="L147" s="7">
        <v>600.0</v>
      </c>
      <c r="M147" s="7">
        <v>3.0</v>
      </c>
      <c r="N147" s="7">
        <v>1800.0</v>
      </c>
      <c r="O147" s="11">
        <v>45298.0</v>
      </c>
      <c r="P147" s="7" t="s">
        <v>14</v>
      </c>
    </row>
    <row r="148" ht="14.25" customHeight="1">
      <c r="K148" s="7" t="s">
        <v>40</v>
      </c>
      <c r="L148" s="7">
        <v>1700.0</v>
      </c>
      <c r="M148" s="7">
        <v>1.0</v>
      </c>
      <c r="N148" s="7">
        <v>1700.0</v>
      </c>
      <c r="O148" s="11">
        <v>45359.0</v>
      </c>
      <c r="P148" s="7" t="s">
        <v>14</v>
      </c>
    </row>
    <row r="149" ht="14.25" customHeight="1">
      <c r="K149" s="7" t="s">
        <v>50</v>
      </c>
      <c r="L149" s="7">
        <v>800.0</v>
      </c>
      <c r="M149" s="7">
        <v>2.0</v>
      </c>
      <c r="N149" s="7">
        <v>1600.0</v>
      </c>
      <c r="O149" s="11">
        <v>45344.0</v>
      </c>
      <c r="P149" s="7" t="s">
        <v>14</v>
      </c>
    </row>
    <row r="150" ht="14.25" customHeight="1">
      <c r="K150" s="7" t="s">
        <v>21</v>
      </c>
      <c r="L150" s="7">
        <v>500.0</v>
      </c>
      <c r="M150" s="7">
        <v>3.0</v>
      </c>
      <c r="N150" s="7">
        <v>1500.0</v>
      </c>
      <c r="O150" s="11">
        <v>45369.0</v>
      </c>
      <c r="P150" s="7" t="s">
        <v>14</v>
      </c>
    </row>
    <row r="151" ht="14.25" customHeight="1">
      <c r="K151" s="7" t="s">
        <v>33</v>
      </c>
      <c r="L151" s="7">
        <v>150.0</v>
      </c>
      <c r="M151" s="7">
        <v>5.0</v>
      </c>
      <c r="N151" s="7">
        <v>750.0</v>
      </c>
      <c r="O151" s="11">
        <v>45388.0</v>
      </c>
      <c r="P151" s="7" t="s">
        <v>14</v>
      </c>
    </row>
    <row r="152" ht="14.25" customHeight="1"/>
    <row r="153" ht="14.25" customHeight="1"/>
    <row r="154" ht="14.25" customHeight="1"/>
    <row r="155" ht="14.25" customHeight="1">
      <c r="K155" s="7" t="s">
        <v>66</v>
      </c>
    </row>
    <row r="156" ht="14.25" customHeight="1">
      <c r="K156" s="10" t="str">
        <f>FORMULATEXT(K158)</f>
        <v>=Sort(Filter(B2:G44,G2:G44="Mumbai"),4,0)</v>
      </c>
    </row>
    <row r="157" ht="14.25" customHeight="1"/>
    <row r="158" ht="14.25" customHeight="1">
      <c r="K158" s="7" t="str">
        <f>IFERROR(__xludf.DUMMYFUNCTION("Sort(Filter(B2:G44,G2:G44=""Mumbai""),4,0)"),"Ergonomic Chair")</f>
        <v>Ergonomic Chair</v>
      </c>
      <c r="L158" s="7">
        <f>IFERROR(__xludf.DUMMYFUNCTION("""COMPUTED_VALUE"""),12500.0)</f>
        <v>12500</v>
      </c>
      <c r="M158" s="7">
        <f>IFERROR(__xludf.DUMMYFUNCTION("""COMPUTED_VALUE"""),1.0)</f>
        <v>1</v>
      </c>
      <c r="N158" s="7">
        <f>IFERROR(__xludf.DUMMYFUNCTION("""COMPUTED_VALUE"""),12500.0)</f>
        <v>12500</v>
      </c>
      <c r="O158" s="11">
        <f>IFERROR(__xludf.DUMMYFUNCTION("""COMPUTED_VALUE"""),45391.0)</f>
        <v>45391</v>
      </c>
      <c r="P158" s="7" t="str">
        <f>IFERROR(__xludf.DUMMYFUNCTION("""COMPUTED_VALUE"""),"Mumbai")</f>
        <v>Mumbai</v>
      </c>
    </row>
    <row r="159" ht="14.25" customHeight="1">
      <c r="K159" s="7" t="str">
        <f>IFERROR(__xludf.DUMMYFUNCTION("""COMPUTED_VALUE"""),"E-Book Reader")</f>
        <v>E-Book Reader</v>
      </c>
      <c r="L159" s="7">
        <f>IFERROR(__xludf.DUMMYFUNCTION("""COMPUTED_VALUE"""),11000.0)</f>
        <v>11000</v>
      </c>
      <c r="M159" s="7">
        <f>IFERROR(__xludf.DUMMYFUNCTION("""COMPUTED_VALUE"""),1.0)</f>
        <v>1</v>
      </c>
      <c r="N159" s="7">
        <f>IFERROR(__xludf.DUMMYFUNCTION("""COMPUTED_VALUE"""),11000.0)</f>
        <v>11000</v>
      </c>
      <c r="O159" s="11">
        <f>IFERROR(__xludf.DUMMYFUNCTION("""COMPUTED_VALUE"""),45331.0)</f>
        <v>45331</v>
      </c>
      <c r="P159" s="7" t="str">
        <f>IFERROR(__xludf.DUMMYFUNCTION("""COMPUTED_VALUE"""),"Mumbai")</f>
        <v>Mumbai</v>
      </c>
    </row>
    <row r="160" ht="14.25" customHeight="1">
      <c r="K160" s="7" t="str">
        <f>IFERROR(__xludf.DUMMYFUNCTION("""COMPUTED_VALUE"""),"Noise Cancelling Headphones")</f>
        <v>Noise Cancelling Headphones</v>
      </c>
      <c r="L160" s="7">
        <f>IFERROR(__xludf.DUMMYFUNCTION("""COMPUTED_VALUE"""),8500.0)</f>
        <v>8500</v>
      </c>
      <c r="M160" s="7">
        <f>IFERROR(__xludf.DUMMYFUNCTION("""COMPUTED_VALUE"""),1.0)</f>
        <v>1</v>
      </c>
      <c r="N160" s="7">
        <f>IFERROR(__xludf.DUMMYFUNCTION("""COMPUTED_VALUE"""),8500.0)</f>
        <v>8500</v>
      </c>
      <c r="O160" s="11">
        <f>IFERROR(__xludf.DUMMYFUNCTION("""COMPUTED_VALUE"""),45339.0)</f>
        <v>45339</v>
      </c>
      <c r="P160" s="7" t="str">
        <f>IFERROR(__xludf.DUMMYFUNCTION("""COMPUTED_VALUE"""),"Mumbai")</f>
        <v>Mumbai</v>
      </c>
    </row>
    <row r="161" ht="14.25" customHeight="1">
      <c r="K161" s="7" t="str">
        <f>IFERROR(__xludf.DUMMYFUNCTION("""COMPUTED_VALUE"""),"Air Purifier")</f>
        <v>Air Purifier</v>
      </c>
      <c r="L161" s="7">
        <f>IFERROR(__xludf.DUMMYFUNCTION("""COMPUTED_VALUE"""),7000.0)</f>
        <v>7000</v>
      </c>
      <c r="M161" s="7">
        <f>IFERROR(__xludf.DUMMYFUNCTION("""COMPUTED_VALUE"""),1.0)</f>
        <v>1</v>
      </c>
      <c r="N161" s="7">
        <f>IFERROR(__xludf.DUMMYFUNCTION("""COMPUTED_VALUE"""),7000.0)</f>
        <v>7000</v>
      </c>
      <c r="O161" s="11">
        <f>IFERROR(__xludf.DUMMYFUNCTION("""COMPUTED_VALUE"""),45300.0)</f>
        <v>45300</v>
      </c>
      <c r="P161" s="7" t="str">
        <f>IFERROR(__xludf.DUMMYFUNCTION("""COMPUTED_VALUE"""),"Mumbai")</f>
        <v>Mumbai</v>
      </c>
    </row>
    <row r="162" ht="14.25" customHeight="1">
      <c r="K162" s="7" t="str">
        <f>IFERROR(__xludf.DUMMYFUNCTION("""COMPUTED_VALUE"""),"Smart Thermostat")</f>
        <v>Smart Thermostat</v>
      </c>
      <c r="L162" s="7">
        <f>IFERROR(__xludf.DUMMYFUNCTION("""COMPUTED_VALUE"""),5500.0)</f>
        <v>5500</v>
      </c>
      <c r="M162" s="7">
        <f>IFERROR(__xludf.DUMMYFUNCTION("""COMPUTED_VALUE"""),1.0)</f>
        <v>1</v>
      </c>
      <c r="N162" s="7">
        <f>IFERROR(__xludf.DUMMYFUNCTION("""COMPUTED_VALUE"""),5500.0)</f>
        <v>5500</v>
      </c>
      <c r="O162" s="11">
        <f>IFERROR(__xludf.DUMMYFUNCTION("""COMPUTED_VALUE"""),45384.0)</f>
        <v>45384</v>
      </c>
      <c r="P162" s="7" t="str">
        <f>IFERROR(__xludf.DUMMYFUNCTION("""COMPUTED_VALUE"""),"Mumbai")</f>
        <v>Mumbai</v>
      </c>
    </row>
    <row r="163" ht="14.25" customHeight="1">
      <c r="K163" s="7" t="str">
        <f>IFERROR(__xludf.DUMMYFUNCTION("""COMPUTED_VALUE"""),"Wireless Keyboard")</f>
        <v>Wireless Keyboard</v>
      </c>
      <c r="L163" s="7">
        <f>IFERROR(__xludf.DUMMYFUNCTION("""COMPUTED_VALUE"""),2200.0)</f>
        <v>2200</v>
      </c>
      <c r="M163" s="7">
        <f>IFERROR(__xludf.DUMMYFUNCTION("""COMPUTED_VALUE"""),2.0)</f>
        <v>2</v>
      </c>
      <c r="N163" s="7">
        <f>IFERROR(__xludf.DUMMYFUNCTION("""COMPUTED_VALUE"""),4400.0)</f>
        <v>4400</v>
      </c>
      <c r="O163" s="11">
        <f>IFERROR(__xludf.DUMMYFUNCTION("""COMPUTED_VALUE"""),45365.0)</f>
        <v>45365</v>
      </c>
      <c r="P163" s="7" t="str">
        <f>IFERROR(__xludf.DUMMYFUNCTION("""COMPUTED_VALUE"""),"Mumbai")</f>
        <v>Mumbai</v>
      </c>
    </row>
    <row r="164" ht="14.25" customHeight="1">
      <c r="K164" s="7" t="str">
        <f>IFERROR(__xludf.DUMMYFUNCTION("""COMPUTED_VALUE"""),"Wireless Charging Pad")</f>
        <v>Wireless Charging Pad</v>
      </c>
      <c r="L164" s="7">
        <f>IFERROR(__xludf.DUMMYFUNCTION("""COMPUTED_VALUE"""),2000.0)</f>
        <v>2000</v>
      </c>
      <c r="M164" s="7">
        <f>IFERROR(__xludf.DUMMYFUNCTION("""COMPUTED_VALUE"""),2.0)</f>
        <v>2</v>
      </c>
      <c r="N164" s="7">
        <f>IFERROR(__xludf.DUMMYFUNCTION("""COMPUTED_VALUE"""),4000.0)</f>
        <v>4000</v>
      </c>
      <c r="O164" s="11">
        <f>IFERROR(__xludf.DUMMYFUNCTION("""COMPUTED_VALUE"""),45320.0)</f>
        <v>45320</v>
      </c>
      <c r="P164" s="7" t="str">
        <f>IFERROR(__xludf.DUMMYFUNCTION("""COMPUTED_VALUE"""),"Mumbai")</f>
        <v>Mumbai</v>
      </c>
    </row>
    <row r="165" ht="14.25" customHeight="1">
      <c r="K165" s="7" t="str">
        <f>IFERROR(__xludf.DUMMYFUNCTION("""COMPUTED_VALUE"""),"Smartwatch")</f>
        <v>Smartwatch</v>
      </c>
      <c r="L165" s="7">
        <f>IFERROR(__xludf.DUMMYFUNCTION("""COMPUTED_VALUE"""),3500.0)</f>
        <v>3500</v>
      </c>
      <c r="M165" s="7">
        <f>IFERROR(__xludf.DUMMYFUNCTION("""COMPUTED_VALUE"""),1.0)</f>
        <v>1</v>
      </c>
      <c r="N165" s="7">
        <f>IFERROR(__xludf.DUMMYFUNCTION("""COMPUTED_VALUE"""),3500.0)</f>
        <v>3500</v>
      </c>
      <c r="O165" s="11">
        <f>IFERROR(__xludf.DUMMYFUNCTION("""COMPUTED_VALUE"""),45383.0)</f>
        <v>45383</v>
      </c>
      <c r="P165" s="7" t="str">
        <f>IFERROR(__xludf.DUMMYFUNCTION("""COMPUTED_VALUE"""),"Mumbai")</f>
        <v>Mumbai</v>
      </c>
    </row>
    <row r="166" ht="14.25" customHeight="1">
      <c r="K166" s="7" t="str">
        <f>IFERROR(__xludf.DUMMYFUNCTION("""COMPUTED_VALUE"""),"Webcam Full HD")</f>
        <v>Webcam Full HD</v>
      </c>
      <c r="L166" s="7">
        <f>IFERROR(__xludf.DUMMYFUNCTION("""COMPUTED_VALUE"""),3200.0)</f>
        <v>3200</v>
      </c>
      <c r="M166" s="7">
        <f>IFERROR(__xludf.DUMMYFUNCTION("""COMPUTED_VALUE"""),1.0)</f>
        <v>1</v>
      </c>
      <c r="N166" s="7">
        <f>IFERROR(__xludf.DUMMYFUNCTION("""COMPUTED_VALUE"""),3200.0)</f>
        <v>3200</v>
      </c>
      <c r="O166" s="11">
        <f>IFERROR(__xludf.DUMMYFUNCTION("""COMPUTED_VALUE"""),45380.0)</f>
        <v>45380</v>
      </c>
      <c r="P166" s="7" t="str">
        <f>IFERROR(__xludf.DUMMYFUNCTION("""COMPUTED_VALUE"""),"Mumbai")</f>
        <v>Mumbai</v>
      </c>
    </row>
    <row r="167" ht="14.25" customHeight="1">
      <c r="K167" s="7" t="str">
        <f>IFERROR(__xludf.DUMMYFUNCTION("""COMPUTED_VALUE"""),"USB-C Hub")</f>
        <v>USB-C Hub</v>
      </c>
      <c r="L167" s="7">
        <f>IFERROR(__xludf.DUMMYFUNCTION("""COMPUTED_VALUE"""),1500.0)</f>
        <v>1500</v>
      </c>
      <c r="M167" s="7">
        <f>IFERROR(__xludf.DUMMYFUNCTION("""COMPUTED_VALUE"""),2.0)</f>
        <v>2</v>
      </c>
      <c r="N167" s="7">
        <f>IFERROR(__xludf.DUMMYFUNCTION("""COMPUTED_VALUE"""),3000.0)</f>
        <v>3000</v>
      </c>
      <c r="O167" s="11">
        <f>IFERROR(__xludf.DUMMYFUNCTION("""COMPUTED_VALUE"""),45347.0)</f>
        <v>45347</v>
      </c>
      <c r="P167" s="7" t="str">
        <f>IFERROR(__xludf.DUMMYFUNCTION("""COMPUTED_VALUE"""),"Mumbai")</f>
        <v>Mumbai</v>
      </c>
    </row>
    <row r="168" ht="14.25" customHeight="1">
      <c r="K168" s="7" t="str">
        <f>IFERROR(__xludf.DUMMYFUNCTION("""COMPUTED_VALUE"""),"Smart Bulb")</f>
        <v>Smart Bulb</v>
      </c>
      <c r="L168" s="7">
        <f>IFERROR(__xludf.DUMMYFUNCTION("""COMPUTED_VALUE"""),900.0)</f>
        <v>900</v>
      </c>
      <c r="M168" s="7">
        <f>IFERROR(__xludf.DUMMYFUNCTION("""COMPUTED_VALUE"""),3.0)</f>
        <v>3</v>
      </c>
      <c r="N168" s="7">
        <f>IFERROR(__xludf.DUMMYFUNCTION("""COMPUTED_VALUE"""),2700.0)</f>
        <v>2700</v>
      </c>
      <c r="O168" s="11">
        <f>IFERROR(__xludf.DUMMYFUNCTION("""COMPUTED_VALUE"""),45317.0)</f>
        <v>45317</v>
      </c>
      <c r="P168" s="7" t="str">
        <f>IFERROR(__xludf.DUMMYFUNCTION("""COMPUTED_VALUE"""),"Mumbai")</f>
        <v>Mumbai</v>
      </c>
    </row>
    <row r="169" ht="14.25" customHeight="1">
      <c r="K169" s="7" t="str">
        <f>IFERROR(__xludf.DUMMYFUNCTION("""COMPUTED_VALUE"""),"HDMI Cable 2m")</f>
        <v>HDMI Cable 2m</v>
      </c>
      <c r="L169" s="7">
        <f>IFERROR(__xludf.DUMMYFUNCTION("""COMPUTED_VALUE"""),700.0)</f>
        <v>700</v>
      </c>
      <c r="M169" s="7">
        <f>IFERROR(__xludf.DUMMYFUNCTION("""COMPUTED_VALUE"""),2.0)</f>
        <v>2</v>
      </c>
      <c r="N169" s="7">
        <f>IFERROR(__xludf.DUMMYFUNCTION("""COMPUTED_VALUE"""),1400.0)</f>
        <v>1400</v>
      </c>
      <c r="O169" s="11">
        <f>IFERROR(__xludf.DUMMYFUNCTION("""COMPUTED_VALUE"""),45312.0)</f>
        <v>45312</v>
      </c>
      <c r="P169" s="7" t="str">
        <f>IFERROR(__xludf.DUMMYFUNCTION("""COMPUTED_VALUE"""),"Mumbai")</f>
        <v>Mumbai</v>
      </c>
    </row>
    <row r="170" ht="14.25" customHeight="1">
      <c r="K170" s="7" t="str">
        <f>IFERROR(__xludf.DUMMYFUNCTION("""COMPUTED_VALUE"""),"Mechanical Keyboard")</f>
        <v>Mechanical Keyboard</v>
      </c>
      <c r="L170" s="7">
        <f>IFERROR(__xludf.DUMMYFUNCTION("""COMPUTED_VALUE"""),1200.0)</f>
        <v>1200</v>
      </c>
      <c r="M170" s="7">
        <f>IFERROR(__xludf.DUMMYFUNCTION("""COMPUTED_VALUE"""),1.0)</f>
        <v>1</v>
      </c>
      <c r="N170" s="7">
        <f>IFERROR(__xludf.DUMMYFUNCTION("""COMPUTED_VALUE"""),1200.0)</f>
        <v>1200</v>
      </c>
      <c r="O170" s="11">
        <f>IFERROR(__xludf.DUMMYFUNCTION("""COMPUTED_VALUE"""),45332.0)</f>
        <v>45332</v>
      </c>
      <c r="P170" s="7" t="str">
        <f>IFERROR(__xludf.DUMMYFUNCTION("""COMPUTED_VALUE"""),"Mumbai")</f>
        <v>Mumbai</v>
      </c>
    </row>
    <row r="171" ht="14.25" customHeight="1"/>
    <row r="172" ht="14.25" customHeight="1"/>
    <row r="173" ht="14.25" customHeight="1"/>
    <row r="174" ht="14.25" customHeight="1">
      <c r="K174" s="7" t="s">
        <v>67</v>
      </c>
    </row>
    <row r="175" ht="14.25" customHeight="1">
      <c r="K175" s="10" t="str">
        <f>FORMULATEXT(K177)</f>
        <v>=Sort(Filter(B2:G44,G2:G44="Delhi"),5,0)</v>
      </c>
    </row>
    <row r="176" ht="14.25" customHeight="1"/>
    <row r="177" ht="14.25" customHeight="1">
      <c r="K177" s="7" t="str">
        <f>IFERROR(__xludf.DUMMYFUNCTION("Sort(Filter(B2:G44,G2:G44=""Delhi""),5,0)"),"USB Microphone")</f>
        <v>USB Microphone</v>
      </c>
      <c r="L177" s="7">
        <f>IFERROR(__xludf.DUMMYFUNCTION("""COMPUTED_VALUE"""),5600.0)</f>
        <v>5600</v>
      </c>
      <c r="M177" s="7">
        <f>IFERROR(__xludf.DUMMYFUNCTION("""COMPUTED_VALUE"""),1.0)</f>
        <v>1</v>
      </c>
      <c r="N177" s="7">
        <f>IFERROR(__xludf.DUMMYFUNCTION("""COMPUTED_VALUE"""),5600.0)</f>
        <v>5600</v>
      </c>
      <c r="O177" s="11">
        <f>IFERROR(__xludf.DUMMYFUNCTION("""COMPUTED_VALUE"""),45389.0)</f>
        <v>45389</v>
      </c>
      <c r="P177" s="7" t="str">
        <f>IFERROR(__xludf.DUMMYFUNCTION("""COMPUTED_VALUE"""),"Delhi")</f>
        <v>Delhi</v>
      </c>
    </row>
    <row r="178" ht="14.25" customHeight="1">
      <c r="K178" s="7" t="str">
        <f>IFERROR(__xludf.DUMMYFUNCTION("""COMPUTED_VALUE"""),"Robot Vacuum Cleaner")</f>
        <v>Robot Vacuum Cleaner</v>
      </c>
      <c r="L178" s="7">
        <f>IFERROR(__xludf.DUMMYFUNCTION("""COMPUTED_VALUE"""),20000.0)</f>
        <v>20000</v>
      </c>
      <c r="M178" s="7">
        <f>IFERROR(__xludf.DUMMYFUNCTION("""COMPUTED_VALUE"""),1.0)</f>
        <v>1</v>
      </c>
      <c r="N178" s="7">
        <f>IFERROR(__xludf.DUMMYFUNCTION("""COMPUTED_VALUE"""),20000.0)</f>
        <v>20000</v>
      </c>
      <c r="O178" s="11">
        <f>IFERROR(__xludf.DUMMYFUNCTION("""COMPUTED_VALUE"""),45379.0)</f>
        <v>45379</v>
      </c>
      <c r="P178" s="7" t="str">
        <f>IFERROR(__xludf.DUMMYFUNCTION("""COMPUTED_VALUE"""),"Delhi")</f>
        <v>Delhi</v>
      </c>
    </row>
    <row r="179" ht="14.25" customHeight="1">
      <c r="K179" s="7" t="str">
        <f>IFERROR(__xludf.DUMMYFUNCTION("""COMPUTED_VALUE"""),"Smart Door Lock")</f>
        <v>Smart Door Lock</v>
      </c>
      <c r="L179" s="7">
        <f>IFERROR(__xludf.DUMMYFUNCTION("""COMPUTED_VALUE"""),9000.0)</f>
        <v>9000</v>
      </c>
      <c r="M179" s="7">
        <f>IFERROR(__xludf.DUMMYFUNCTION("""COMPUTED_VALUE"""),1.0)</f>
        <v>1</v>
      </c>
      <c r="N179" s="7">
        <f>IFERROR(__xludf.DUMMYFUNCTION("""COMPUTED_VALUE"""),9000.0)</f>
        <v>9000</v>
      </c>
      <c r="O179" s="11">
        <f>IFERROR(__xludf.DUMMYFUNCTION("""COMPUTED_VALUE"""),45375.0)</f>
        <v>45375</v>
      </c>
      <c r="P179" s="7" t="str">
        <f>IFERROR(__xludf.DUMMYFUNCTION("""COMPUTED_VALUE"""),"Delhi")</f>
        <v>Delhi</v>
      </c>
    </row>
    <row r="180" ht="14.25" customHeight="1">
      <c r="K180" s="7" t="str">
        <f>IFERROR(__xludf.DUMMYFUNCTION("""COMPUTED_VALUE"""),"Digital Drawing Pad")</f>
        <v>Digital Drawing Pad</v>
      </c>
      <c r="L180" s="7">
        <f>IFERROR(__xludf.DUMMYFUNCTION("""COMPUTED_VALUE"""),6800.0)</f>
        <v>6800</v>
      </c>
      <c r="M180" s="7">
        <f>IFERROR(__xludf.DUMMYFUNCTION("""COMPUTED_VALUE"""),1.0)</f>
        <v>1</v>
      </c>
      <c r="N180" s="7">
        <f>IFERROR(__xludf.DUMMYFUNCTION("""COMPUTED_VALUE"""),6800.0)</f>
        <v>6800</v>
      </c>
      <c r="O180" s="11">
        <f>IFERROR(__xludf.DUMMYFUNCTION("""COMPUTED_VALUE"""),45361.0)</f>
        <v>45361</v>
      </c>
      <c r="P180" s="7" t="str">
        <f>IFERROR(__xludf.DUMMYFUNCTION("""COMPUTED_VALUE"""),"Delhi")</f>
        <v>Delhi</v>
      </c>
    </row>
    <row r="181" ht="14.25" customHeight="1">
      <c r="K181" s="7" t="str">
        <f>IFERROR(__xludf.DUMMYFUNCTION("""COMPUTED_VALUE"""),"Graphics Tablet")</f>
        <v>Graphics Tablet</v>
      </c>
      <c r="L181" s="7">
        <f>IFERROR(__xludf.DUMMYFUNCTION("""COMPUTED_VALUE"""),7200.0)</f>
        <v>7200</v>
      </c>
      <c r="M181" s="7">
        <f>IFERROR(__xludf.DUMMYFUNCTION("""COMPUTED_VALUE"""),1.0)</f>
        <v>1</v>
      </c>
      <c r="N181" s="7">
        <f>IFERROR(__xludf.DUMMYFUNCTION("""COMPUTED_VALUE"""),7200.0)</f>
        <v>7200</v>
      </c>
      <c r="O181" s="11">
        <f>IFERROR(__xludf.DUMMYFUNCTION("""COMPUTED_VALUE"""),45356.0)</f>
        <v>45356</v>
      </c>
      <c r="P181" s="7" t="str">
        <f>IFERROR(__xludf.DUMMYFUNCTION("""COMPUTED_VALUE"""),"Delhi")</f>
        <v>Delhi</v>
      </c>
    </row>
    <row r="182" ht="14.25" customHeight="1">
      <c r="K182" s="7" t="str">
        <f>IFERROR(__xludf.DUMMYFUNCTION("""COMPUTED_VALUE"""),"VR Headset")</f>
        <v>VR Headset</v>
      </c>
      <c r="L182" s="7">
        <f>IFERROR(__xludf.DUMMYFUNCTION("""COMPUTED_VALUE"""),16000.0)</f>
        <v>16000</v>
      </c>
      <c r="M182" s="7">
        <f>IFERROR(__xludf.DUMMYFUNCTION("""COMPUTED_VALUE"""),1.0)</f>
        <v>1</v>
      </c>
      <c r="N182" s="7">
        <f>IFERROR(__xludf.DUMMYFUNCTION("""COMPUTED_VALUE"""),16000.0)</f>
        <v>16000</v>
      </c>
      <c r="O182" s="11">
        <f>IFERROR(__xludf.DUMMYFUNCTION("""COMPUTED_VALUE"""),45350.0)</f>
        <v>45350</v>
      </c>
      <c r="P182" s="7" t="str">
        <f>IFERROR(__xludf.DUMMYFUNCTION("""COMPUTED_VALUE"""),"Delhi")</f>
        <v>Delhi</v>
      </c>
    </row>
    <row r="183" ht="14.25" customHeight="1">
      <c r="K183" s="7" t="str">
        <f>IFERROR(__xludf.DUMMYFUNCTION("""COMPUTED_VALUE"""),"USB Extension Cable")</f>
        <v>USB Extension Cable</v>
      </c>
      <c r="L183" s="7">
        <f>IFERROR(__xludf.DUMMYFUNCTION("""COMPUTED_VALUE"""),300.0)</f>
        <v>300</v>
      </c>
      <c r="M183" s="7">
        <f>IFERROR(__xludf.DUMMYFUNCTION("""COMPUTED_VALUE"""),4.0)</f>
        <v>4</v>
      </c>
      <c r="N183" s="7">
        <f>IFERROR(__xludf.DUMMYFUNCTION("""COMPUTED_VALUE"""),1200.0)</f>
        <v>1200</v>
      </c>
      <c r="O183" s="11">
        <f>IFERROR(__xludf.DUMMYFUNCTION("""COMPUTED_VALUE"""),45342.0)</f>
        <v>45342</v>
      </c>
      <c r="P183" s="7" t="str">
        <f>IFERROR(__xludf.DUMMYFUNCTION("""COMPUTED_VALUE"""),"Delhi")</f>
        <v>Delhi</v>
      </c>
    </row>
    <row r="184" ht="14.25" customHeight="1">
      <c r="K184" s="7" t="str">
        <f>IFERROR(__xludf.DUMMYFUNCTION("""COMPUTED_VALUE"""),"Laptop Stand")</f>
        <v>Laptop Stand</v>
      </c>
      <c r="L184" s="7">
        <f>IFERROR(__xludf.DUMMYFUNCTION("""COMPUTED_VALUE"""),750.0)</f>
        <v>750</v>
      </c>
      <c r="M184" s="7">
        <f>IFERROR(__xludf.DUMMYFUNCTION("""COMPUTED_VALUE"""),1.0)</f>
        <v>1</v>
      </c>
      <c r="N184" s="7">
        <f>IFERROR(__xludf.DUMMYFUNCTION("""COMPUTED_VALUE"""),750.0)</f>
        <v>750</v>
      </c>
      <c r="O184" s="11">
        <f>IFERROR(__xludf.DUMMYFUNCTION("""COMPUTED_VALUE"""),45337.0)</f>
        <v>45337</v>
      </c>
      <c r="P184" s="7" t="str">
        <f>IFERROR(__xludf.DUMMYFUNCTION("""COMPUTED_VALUE"""),"Delhi")</f>
        <v>Delhi</v>
      </c>
    </row>
    <row r="185" ht="14.25" customHeight="1">
      <c r="K185" s="7" t="str">
        <f>IFERROR(__xludf.DUMMYFUNCTION("""COMPUTED_VALUE"""),"External DVD Drive")</f>
        <v>External DVD Drive</v>
      </c>
      <c r="L185" s="7">
        <f>IFERROR(__xludf.DUMMYFUNCTION("""COMPUTED_VALUE"""),3800.0)</f>
        <v>3800</v>
      </c>
      <c r="M185" s="7">
        <f>IFERROR(__xludf.DUMMYFUNCTION("""COMPUTED_VALUE"""),1.0)</f>
        <v>1</v>
      </c>
      <c r="N185" s="7">
        <f>IFERROR(__xludf.DUMMYFUNCTION("""COMPUTED_VALUE"""),3800.0)</f>
        <v>3800</v>
      </c>
      <c r="O185" s="11">
        <f>IFERROR(__xludf.DUMMYFUNCTION("""COMPUTED_VALUE"""),45328.0)</f>
        <v>45328</v>
      </c>
      <c r="P185" s="7" t="str">
        <f>IFERROR(__xludf.DUMMYFUNCTION("""COMPUTED_VALUE"""),"Delhi")</f>
        <v>Delhi</v>
      </c>
    </row>
    <row r="186" ht="14.25" customHeight="1">
      <c r="K186" s="7" t="str">
        <f>IFERROR(__xludf.DUMMYFUNCTION("""COMPUTED_VALUE"""),"External Hard Drive 1TB")</f>
        <v>External Hard Drive 1TB</v>
      </c>
      <c r="L186" s="7">
        <f>IFERROR(__xludf.DUMMYFUNCTION("""COMPUTED_VALUE"""),4500.0)</f>
        <v>4500</v>
      </c>
      <c r="M186" s="7">
        <f>IFERROR(__xludf.DUMMYFUNCTION("""COMPUTED_VALUE"""),1.0)</f>
        <v>1</v>
      </c>
      <c r="N186" s="7">
        <f>IFERROR(__xludf.DUMMYFUNCTION("""COMPUTED_VALUE"""),4500.0)</f>
        <v>4500</v>
      </c>
      <c r="O186" s="11">
        <f>IFERROR(__xludf.DUMMYFUNCTION("""COMPUTED_VALUE"""),45321.0)</f>
        <v>45321</v>
      </c>
      <c r="P186" s="7" t="str">
        <f>IFERROR(__xludf.DUMMYFUNCTION("""COMPUTED_VALUE"""),"Delhi")</f>
        <v>Delhi</v>
      </c>
    </row>
    <row r="187" ht="14.25" customHeight="1">
      <c r="K187" s="7" t="str">
        <f>IFERROR(__xludf.DUMMYFUNCTION("""COMPUTED_VALUE"""),"LED Desk Lamp")</f>
        <v>LED Desk Lamp</v>
      </c>
      <c r="L187" s="7">
        <f>IFERROR(__xludf.DUMMYFUNCTION("""COMPUTED_VALUE"""),1200.0)</f>
        <v>1200</v>
      </c>
      <c r="M187" s="7">
        <f>IFERROR(__xludf.DUMMYFUNCTION("""COMPUTED_VALUE"""),2.0)</f>
        <v>2</v>
      </c>
      <c r="N187" s="7">
        <f>IFERROR(__xludf.DUMMYFUNCTION("""COMPUTED_VALUE"""),2400.0)</f>
        <v>2400</v>
      </c>
      <c r="O187" s="11">
        <f>IFERROR(__xludf.DUMMYFUNCTION("""COMPUTED_VALUE"""),45305.0)</f>
        <v>45305</v>
      </c>
      <c r="P187" s="7" t="str">
        <f>IFERROR(__xludf.DUMMYFUNCTION("""COMPUTED_VALUE"""),"Delhi")</f>
        <v>Delhi</v>
      </c>
    </row>
    <row r="188" ht="14.25" customHeight="1">
      <c r="K188" s="7" t="str">
        <f>IFERROR(__xludf.DUMMYFUNCTION("""COMPUTED_VALUE"""),"Wireless Mouse")</f>
        <v>Wireless Mouse</v>
      </c>
      <c r="L188" s="7">
        <f>IFERROR(__xludf.DUMMYFUNCTION("""COMPUTED_VALUE"""),450.0)</f>
        <v>450</v>
      </c>
      <c r="M188" s="7">
        <f>IFERROR(__xludf.DUMMYFUNCTION("""COMPUTED_VALUE"""),2.0)</f>
        <v>2</v>
      </c>
      <c r="N188" s="7">
        <f>IFERROR(__xludf.DUMMYFUNCTION("""COMPUTED_VALUE"""),900.0)</f>
        <v>900</v>
      </c>
      <c r="O188" s="11">
        <f>IFERROR(__xludf.DUMMYFUNCTION("""COMPUTED_VALUE"""),45296.0)</f>
        <v>45296</v>
      </c>
      <c r="P188" s="7" t="str">
        <f>IFERROR(__xludf.DUMMYFUNCTION("""COMPUTED_VALUE"""),"Delhi")</f>
        <v>Delhi</v>
      </c>
    </row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G$4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2025-02-16T02:49:39Z</dcterms:created>
  <dc:creator>Utkarsh Tiwary</dc:creator>
</cp:coreProperties>
</file>